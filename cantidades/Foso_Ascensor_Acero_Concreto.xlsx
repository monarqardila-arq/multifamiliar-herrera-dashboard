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Parámetros" sheetId="2" state="visible" r:id="rId4"/>
    <sheet name="ACERO" sheetId="3" state="visible" r:id="rId5"/>
    <sheet name="Concreto por elementos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<sst xmlns="http://schemas.openxmlformats.org/spreadsheetml/2006/main" count="266" uniqueCount="185">
  <si>
    <t xml:space="preserve">FOSO DE ASCENSOR — RESUMEN DE ACERO Y CONCRETO</t>
  </si>
  <si>
    <t xml:space="preserve">Multifamiliar Herrera · Plano EST-02 v.01 (19/06/2026). Valores enlazados a las otras hojas.</t>
  </si>
  <si>
    <t xml:space="preserve">Concepto</t>
  </si>
  <si>
    <t xml:space="preserve">Neto</t>
  </si>
  <si>
    <t xml:space="preserve">Con desperdicio / total</t>
  </si>
  <si>
    <t xml:space="preserve">Und</t>
  </si>
  <si>
    <t xml:space="preserve">Acero #4 (1/2")</t>
  </si>
  <si>
    <t xml:space="preserve">ml</t>
  </si>
  <si>
    <t xml:space="preserve">Acero #3 (3/8")</t>
  </si>
  <si>
    <t xml:space="preserve">Acero total</t>
  </si>
  <si>
    <t xml:space="preserve">Concreto estructural 21 MPa</t>
  </si>
  <si>
    <t xml:space="preserve">m³</t>
  </si>
  <si>
    <t xml:space="preserve">Varillas #4 de 6 m a comprar (usando inventario)</t>
  </si>
  <si>
    <t xml:space="preserve">und</t>
  </si>
  <si>
    <t xml:space="preserve">Varillas #3 de 6 m a comprar (incluye 1 de reserva)</t>
  </si>
  <si>
    <t xml:space="preserve">PARÁMETROS</t>
  </si>
  <si>
    <t xml:space="preserve">Celdas en azul sobre amarillo: editables. Todas las tablas se recalculan con ellas.</t>
  </si>
  <si>
    <t xml:space="preserve">Parámetro</t>
  </si>
  <si>
    <t xml:space="preserve">Valor</t>
  </si>
  <si>
    <t xml:space="preserve">Fuente</t>
  </si>
  <si>
    <t xml:space="preserve">Desperdicio acero</t>
  </si>
  <si>
    <t xml:space="preserve">Criterio de obra</t>
  </si>
  <si>
    <t xml:space="preserve">Desperdicio concreto</t>
  </si>
  <si>
    <t xml:space="preserve">f'c concreto estructural</t>
  </si>
  <si>
    <t xml:space="preserve">MPa</t>
  </si>
  <si>
    <t xml:space="preserve">Supuesto; EST-02 no lo indica</t>
  </si>
  <si>
    <t xml:space="preserve">fy acero de refuerzo</t>
  </si>
  <si>
    <t xml:space="preserve">FOSO DE ASCENSOR — CANTIDADES DE ACERO DE REFUERZO (PLANO EST-02)</t>
  </si>
  <si>
    <t xml:space="preserve">Multifamiliar Herrera · Acero fy 420 MPa · Varilla comercial de 6.00 m · Valores en azul: datos del plano</t>
  </si>
  <si>
    <t xml:space="preserve">ML DE ACERO #4 (1/2") — CARTILLA</t>
  </si>
  <si>
    <t xml:space="preserve">ELEMENTO</t>
  </si>
  <si>
    <t xml:space="preserve">FORMA (TRAMOS m)</t>
  </si>
  <si>
    <t xml:space="preserve">SEPARACIÓN (m)</t>
  </si>
  <si>
    <t xml:space="preserve">CANTIDAD</t>
  </si>
  <si>
    <t xml:space="preserve">L CORTE (m)</t>
  </si>
  <si>
    <t xml:space="preserve">ML</t>
  </si>
  <si>
    <t xml:space="preserve">L1 — Losa de fondo — sentido X (2 capas)</t>
  </si>
  <si>
    <t xml:space="preserve">1.70 + 2 × 0.20</t>
  </si>
  <si>
    <t xml:space="preserve">L2 — Losa de fondo — sentido Y (2 capas)</t>
  </si>
  <si>
    <t xml:space="preserve">2.10 + 2 × 0.20</t>
  </si>
  <si>
    <t xml:space="preserve">M1 — Muros X — horizontales (2 muros)</t>
  </si>
  <si>
    <t xml:space="preserve">1.68 + 2 × 0.20</t>
  </si>
  <si>
    <t xml:space="preserve">M2 — Muros Y — horizontales (2 muros)</t>
  </si>
  <si>
    <t xml:space="preserve">2.08 + 2 × 0.20</t>
  </si>
  <si>
    <t xml:space="preserve">M3 — Muros X — verticales (2 muros)</t>
  </si>
  <si>
    <t xml:space="preserve">1.28 + 0.20 + 0.20</t>
  </si>
  <si>
    <t xml:space="preserve">M4 — Muros Y — verticales (2 muros)</t>
  </si>
  <si>
    <t xml:space="preserve">C1 — Columnas 40×40 — longitudinal (4 col.)</t>
  </si>
  <si>
    <t xml:space="preserve">1.32 + 0.20 + 0.20</t>
  </si>
  <si>
    <t xml:space="preserve">—</t>
  </si>
  <si>
    <t xml:space="preserve">TOTAL</t>
  </si>
  <si>
    <t xml:space="preserve">ML DE ACERO #3 (3/8") — CARTILLA</t>
  </si>
  <si>
    <t xml:space="preserve">E1 — Columnas 40×40 — flejes (4 col.)</t>
  </si>
  <si>
    <t xml:space="preserve">4 × 0.32 + ganchos</t>
  </si>
  <si>
    <t xml:space="preserve">RESUMEN DE METROS LINEALES DE ACERO</t>
  </si>
  <si>
    <t xml:space="preserve">SUB TOTAL DE ML DE ACERO</t>
  </si>
  <si>
    <t xml:space="preserve">DESPERDICIO</t>
  </si>
  <si>
    <t xml:space="preserve">TOTAL DE ML DE ACERO CON DESPERDICIO</t>
  </si>
  <si>
    <t xml:space="preserve">VARILLAS DEL INVENTARIO DE 1/2" QUE SE USAN (MARCADAS EN NARANJA EN EL INVENTARIO)</t>
  </si>
  <si>
    <t xml:space="preserve">FILA EN INVENTARIO · DETALLE</t>
  </si>
  <si>
    <t xml:space="preserve">LONGITUD (m)</t>
  </si>
  <si>
    <t xml:space="preserve">USO</t>
  </si>
  <si>
    <t xml:space="preserve">L A CORTAR (m)</t>
  </si>
  <si>
    <t xml:space="preserve">SOBRANTE (m)</t>
  </si>
  <si>
    <t xml:space="preserve">ML A UTILIZAR</t>
  </si>
  <si>
    <t xml:space="preserve">Fila 30 · Con gancho de 0.20 m</t>
  </si>
  <si>
    <t xml:space="preserve">Silleta</t>
  </si>
  <si>
    <t xml:space="preserve">Fila 31 · —</t>
  </si>
  <si>
    <t xml:space="preserve">M3/M4</t>
  </si>
  <si>
    <t xml:space="preserve">Fila 32 · —</t>
  </si>
  <si>
    <t xml:space="preserve">Fila 35 · Con gancho de 0.20 m</t>
  </si>
  <si>
    <t xml:space="preserve">Fila 36 · Con gancho de 0.195 m</t>
  </si>
  <si>
    <t xml:space="preserve">Fila 39 · Con gancho de 0.195 m</t>
  </si>
  <si>
    <t xml:space="preserve">Fila 40 · —</t>
  </si>
  <si>
    <t xml:space="preserve">Fila 41 · —</t>
  </si>
  <si>
    <t xml:space="preserve">Fila 45 · Con patas de 0.20 m a cada lado</t>
  </si>
  <si>
    <t xml:space="preserve">L2</t>
  </si>
  <si>
    <t xml:space="preserve">Fila 49 · Con ganchos a 180° de 20.4 cm</t>
  </si>
  <si>
    <t xml:space="preserve">Fila 50 · Con ganchos a 160° de 20.2 cm</t>
  </si>
  <si>
    <t xml:space="preserve">Fila 54 · —</t>
  </si>
  <si>
    <t xml:space="preserve">C1</t>
  </si>
  <si>
    <t xml:space="preserve">Fila 55 · —</t>
  </si>
  <si>
    <t xml:space="preserve">Fila 56 · Con pata de 20 cm a un lado</t>
  </si>
  <si>
    <t xml:space="preserve">M1</t>
  </si>
  <si>
    <t xml:space="preserve">Fila 57 · —</t>
  </si>
  <si>
    <t xml:space="preserve">L1</t>
  </si>
  <si>
    <t xml:space="preserve">Fila 58 · —</t>
  </si>
  <si>
    <t xml:space="preserve">Fila 59 · —</t>
  </si>
  <si>
    <t xml:space="preserve">Fila 61 · —</t>
  </si>
  <si>
    <t xml:space="preserve">Fila 62 · —</t>
  </si>
  <si>
    <t xml:space="preserve">Fila 63 · —</t>
  </si>
  <si>
    <t xml:space="preserve">Fila 64 · —</t>
  </si>
  <si>
    <t xml:space="preserve">Fila 65 · —</t>
  </si>
  <si>
    <t xml:space="preserve">Fila 66 · —</t>
  </si>
  <si>
    <t xml:space="preserve">Fila 67 · —</t>
  </si>
  <si>
    <t xml:space="preserve">Fila 68 · —</t>
  </si>
  <si>
    <t xml:space="preserve">Fila 69 · —</t>
  </si>
  <si>
    <t xml:space="preserve">Fila 70 · —</t>
  </si>
  <si>
    <t xml:space="preserve">Fila 71 · —</t>
  </si>
  <si>
    <t xml:space="preserve">Fila 72 · —</t>
  </si>
  <si>
    <t xml:space="preserve">Fila 73 · —</t>
  </si>
  <si>
    <t xml:space="preserve">Fila 78 · —</t>
  </si>
  <si>
    <t xml:space="preserve">Fila 80 · —</t>
  </si>
  <si>
    <t xml:space="preserve">Fila 81 · —</t>
  </si>
  <si>
    <t xml:space="preserve">Fila 82 · —</t>
  </si>
  <si>
    <t xml:space="preserve">Fila 83 · —</t>
  </si>
  <si>
    <t xml:space="preserve">Fila 84 · —</t>
  </si>
  <si>
    <t xml:space="preserve">M2</t>
  </si>
  <si>
    <t xml:space="preserve">Fila 85 · —</t>
  </si>
  <si>
    <t xml:space="preserve">Fila 88 · Con ganchos a 180° de 20 cm</t>
  </si>
  <si>
    <t xml:space="preserve">Fila 89 · Con ganchos a 180° de 20 cm</t>
  </si>
  <si>
    <t xml:space="preserve">Fila 90 · —</t>
  </si>
  <si>
    <t xml:space="preserve">TOTAL A UTILIZAR DEL INVENTARIO</t>
  </si>
  <si>
    <t xml:space="preserve">PIEZAS #4: CUÁNTAS SALEN DEL INVENTARIO Y CUÁNTAS HAY QUE CORTAR DE VARILLA NUEVA</t>
  </si>
  <si>
    <t xml:space="preserve">PIEZA</t>
  </si>
  <si>
    <t xml:space="preserve">REQUERIDAS</t>
  </si>
  <si>
    <t xml:space="preserve">DEL INVENTARIO</t>
  </si>
  <si>
    <t xml:space="preserve">FALTAN</t>
  </si>
  <si>
    <t xml:space="preserve">ML FALTANTES</t>
  </si>
  <si>
    <t xml:space="preserve">M3/M4 — Muros, verticales</t>
  </si>
  <si>
    <t xml:space="preserve">Silletas para la parrilla superior de la losa</t>
  </si>
  <si>
    <t xml:space="preserve">PLAN DE CORTE — VARILLAS NUEVAS #4 DE 6.00 m (USANDO EL INVENTARIO)</t>
  </si>
  <si>
    <t xml:space="preserve">PATRÓN (PIEZAS EN CADA VARILLA DE 6.00 m)</t>
  </si>
  <si>
    <t xml:space="preserve">USADO (m)</t>
  </si>
  <si>
    <t xml:space="preserve">RETAL C/U (m)</t>
  </si>
  <si>
    <t xml:space="preserve">USO DEL RETAL</t>
  </si>
  <si>
    <t xml:space="preserve">RETAL TOTAL (m)</t>
  </si>
  <si>
    <t xml:space="preserve">VARILLAS</t>
  </si>
  <si>
    <t xml:space="preserve">A: M2 2.50 + M3/M4 1.75 + M3/M4 1.75</t>
  </si>
  <si>
    <t xml:space="preserve">Sin retal</t>
  </si>
  <si>
    <t xml:space="preserve">B: M1 2.10 + M1 2.10 + C1 1.80</t>
  </si>
  <si>
    <t xml:space="preserve">C: L2 2.60 + L2 2.60</t>
  </si>
  <si>
    <t xml:space="preserve">Estacas de formaleta</t>
  </si>
  <si>
    <t xml:space="preserve">D: L1 2.20 + M3/M4 1.75 + M3/M4 1.75</t>
  </si>
  <si>
    <t xml:space="preserve">Chatarra</t>
  </si>
  <si>
    <t xml:space="preserve">E: L2 2.60 + L1 2.20</t>
  </si>
  <si>
    <t xml:space="preserve">Estacas de formaleta y replanteo</t>
  </si>
  <si>
    <t xml:space="preserve">F: L1 2.20 + C1 1.80 + C1 1.80</t>
  </si>
  <si>
    <t xml:space="preserve">G: L2 2.60 + M3/M4 1.75</t>
  </si>
  <si>
    <t xml:space="preserve">Reserva para reponer una pieza</t>
  </si>
  <si>
    <t xml:space="preserve">H: L2 2.60 + M1 2.10</t>
  </si>
  <si>
    <t xml:space="preserve">I: L1 2.20 + C1 1.80 + M3/M4 1.75</t>
  </si>
  <si>
    <t xml:space="preserve">TOTAL VARILLAS</t>
  </si>
  <si>
    <t xml:space="preserve">PLAN DE CORTE — VARILLAS NUEVAS #3 DE 6.00 m</t>
  </si>
  <si>
    <t xml:space="preserve">J: E1 1.50 + E1 1.50 + E1 1.50 + E1 1.50</t>
  </si>
  <si>
    <t xml:space="preserve">RESUMEN DE COMPRA DE VARILLAS DE 6.00 m</t>
  </si>
  <si>
    <t xml:space="preserve">Varilla #4 (1/2")</t>
  </si>
  <si>
    <t xml:space="preserve">Varilla #3 (3/8")</t>
  </si>
  <si>
    <t xml:space="preserve">Reserva varilla #3 (3/8")</t>
  </si>
  <si>
    <t xml:space="preserve">TOTAL VARILLAS A COMPRAR</t>
  </si>
  <si>
    <t xml:space="preserve">REFERENCIA — PLAN DE CORTE SIN USAR EL INVENTARIO (VARILLAS #4)</t>
  </si>
  <si>
    <t xml:space="preserve">B: L1 2.20 + C1 1.80 + C1 1.80</t>
  </si>
  <si>
    <t xml:space="preserve">C: M1 2.10 + M1 2.10 + M3 1.75</t>
  </si>
  <si>
    <t xml:space="preserve">D: L2 2.60 + L2 2.60</t>
  </si>
  <si>
    <t xml:space="preserve">Silletas para la parrilla superior de la losa (1 por retal)</t>
  </si>
  <si>
    <t xml:space="preserve">E: L1 2.20 + L1 2.20</t>
  </si>
  <si>
    <t xml:space="preserve">Estacas de formaleta y de replanteo (3 de 0.50 m por retal)</t>
  </si>
  <si>
    <t xml:space="preserve">F: M3 1.75</t>
  </si>
  <si>
    <t xml:space="preserve">Reserva para reponer una pieza mal cortada</t>
  </si>
  <si>
    <t xml:space="preserve">• Las patas y ganchos se figuran después de cortar cada pieza a su L de corte.</t>
  </si>
  <si>
    <t xml:space="preserve">• En los trozos del inventario con dobleces se corta el doblez 5 cm más allá y se usa solo el tramo recto.</t>
  </si>
  <si>
    <t xml:space="preserve">• Las varillas curvadas del inventario no se usan: no se deben enderezar.</t>
  </si>
  <si>
    <t xml:space="preserve">CÁLCULO DE CONCRETO POR ELEMENTOS — FOSO DE ASCENSOR (EST-02)</t>
  </si>
  <si>
    <t xml:space="preserve">Foso: luz libre 1.50 × 1.90 m · profundidad útil 1.20 m (N-0.10 a N-1.30) · exterior de muros 1.80 × 2.20 m · con columnas 2.10 × 2.50 m · altura total 1.40 m (N-0.10 a N-1.50).</t>
  </si>
  <si>
    <t xml:space="preserve">Elemento</t>
  </si>
  <si>
    <t xml:space="preserve">Cant.</t>
  </si>
  <si>
    <t xml:space="preserve">Largo (m)</t>
  </si>
  <si>
    <t xml:space="preserve">Ancho (m)</t>
  </si>
  <si>
    <t xml:space="preserve">Alto / espesor (m)</t>
  </si>
  <si>
    <t xml:space="preserve">Vol. unitario (m³)</t>
  </si>
  <si>
    <t xml:space="preserve">Descuento (m³)</t>
  </si>
  <si>
    <t xml:space="preserve">Vol. neto (m³)</t>
  </si>
  <si>
    <t xml:space="preserve">Con desperdicio (m³)</t>
  </si>
  <si>
    <t xml:space="preserve">Nota</t>
  </si>
  <si>
    <t xml:space="preserve">Losa de fondo e = 0.20</t>
  </si>
  <si>
    <t xml:space="preserve">Exterior de muros. Se descuentan las 4 esquinas que ocupan las columnas (0.25 × 0.25 × 0.20 c/u)</t>
  </si>
  <si>
    <t xml:space="preserve">Muros sentido X e = 0.15</t>
  </si>
  <si>
    <t xml:space="preserve">Entre caras de columnas, sobre la losa (N-1.30 a N-0.10)</t>
  </si>
  <si>
    <t xml:space="preserve">Muros sentido Y e = 0.15</t>
  </si>
  <si>
    <t xml:space="preserve">Columnas 40 × 40</t>
  </si>
  <si>
    <t xml:space="preserve">Altura completa N-1.50 a N-0.10</t>
  </si>
  <si>
    <t xml:space="preserve">TOTAL CONCRETO ESTRUCTURAL</t>
  </si>
  <si>
    <t xml:space="preserve">Concreto f'c según Parámetros</t>
  </si>
  <si>
    <t xml:space="preserve">Solado de limpieza e = 0.05 (14 MPa, recomendado)</t>
  </si>
  <si>
    <t xml:space="preserve">No dibujado en EST-02. Losa + 0.10 m por lado. Va aparte del concreto estructural.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</si>
</sst>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"/>
    <numFmt numFmtId="166" formatCode="0.000"/>
    <numFmt numFmtId="167" formatCode="0"/>
    <numFmt numFmtId="168" formatCode="0%"/>
    <numFmt numFmtId="169" formatCode="0.00"/>
    <numFmt numFmtId="170" formatCode="0.000;\-0.000;\-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4"/>
      <name val="Calibri"/>
      <family val="0"/>
      <charset val="1"/>
    </font>
    <font>
      <i val="true"/>
      <sz val="10"/>
      <name val="Calibri"/>
      <family val="0"/>
      <charset val="1"/>
    </font>
    <font>
      <b val="true"/>
      <sz val="11"/>
      <name val="Calibri"/>
      <family val="0"/>
      <charset val="1"/>
    </font>
    <font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sz val="10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6AA84F"/>
        <bgColor rgb="FF969696"/>
      </patternFill>
    </fill>
    <fill>
      <patternFill patternType="solid">
        <fgColor rgb="FFB6D7A8"/>
        <bgColor rgb="FFBFBFBF"/>
      </patternFill>
    </fill>
    <fill>
      <patternFill patternType="solid">
        <fgColor rgb="FF00FF00"/>
        <bgColor rgb="FF33CCCC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FFFFFF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ck"/>
      <right style="thick"/>
      <top style="thick"/>
      <bottom style="double"/>
      <diagonal/>
    </border>
    <border diagonalUp="false" diagonalDown="false">
      <left style="thick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ck"/>
      <right style="dotted"/>
      <top style="dotted"/>
      <bottom style="dotted"/>
      <diagonal/>
    </border>
    <border diagonalUp="false" diagonalDown="false">
      <left style="dotted"/>
      <right style="dotted"/>
      <top style="dotted"/>
      <bottom style="dotted"/>
      <diagonal/>
    </border>
    <border diagonalUp="false" diagonalDown="false">
      <left style="thick"/>
      <right style="thin"/>
      <top style="double"/>
      <bottom style="thin"/>
      <diagonal/>
    </border>
    <border diagonalUp="false" diagonalDown="false">
      <left style="thin"/>
      <right style="thin"/>
      <top style="double"/>
      <bottom style="thin"/>
      <diagonal/>
    </border>
    <border diagonalUp="false" diagonalDown="false">
      <left style="thick"/>
      <right style="thin"/>
      <top style="double"/>
      <bottom style="thick"/>
      <diagonal/>
    </border>
    <border diagonalUp="false" diagonalDown="false">
      <left style="thin"/>
      <right style="thin"/>
      <top style="double"/>
      <bottom style="thick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5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3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3" fillId="5" borderId="8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4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9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3" fillId="6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7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5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0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3" fillId="6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B6D7A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1F3A5F"/>
      <rgbColor rgb="FF6AA84F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3.8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 t="n">
        <f aca="false">ACERO!H14</f>
        <v>261</v>
      </c>
      <c r="C5" s="6" t="n">
        <f aca="false">B5*(1+Parámetros!$B$5)</f>
        <v>274.05</v>
      </c>
      <c r="D5" s="7" t="s">
        <v>7</v>
      </c>
    </row>
    <row r="6" customFormat="false" ht="15" hidden="false" customHeight="false" outlineLevel="0" collapsed="false">
      <c r="A6" s="4" t="s">
        <v>8</v>
      </c>
      <c r="B6" s="5" t="n">
        <f aca="false">ACERO!H20</f>
        <v>120</v>
      </c>
      <c r="C6" s="6" t="n">
        <f aca="false">B6*(1+Parámetros!$B$5)</f>
        <v>126</v>
      </c>
      <c r="D6" s="7" t="s">
        <v>7</v>
      </c>
    </row>
    <row r="7" customFormat="false" ht="15" hidden="false" customHeight="false" outlineLevel="0" collapsed="false">
      <c r="A7" s="8" t="s">
        <v>9</v>
      </c>
      <c r="B7" s="5" t="n">
        <f aca="false">B5+B6</f>
        <v>381</v>
      </c>
      <c r="C7" s="6" t="n">
        <f aca="false">C5+C6</f>
        <v>400.05</v>
      </c>
      <c r="D7" s="7" t="s">
        <v>7</v>
      </c>
    </row>
    <row r="8" customFormat="false" ht="15" hidden="false" customHeight="false" outlineLevel="0" collapsed="false">
      <c r="A8" s="4" t="s">
        <v>10</v>
      </c>
      <c r="B8" s="9" t="n">
        <f aca="false">'Concreto por elementos'!H9</f>
        <v>2.718</v>
      </c>
      <c r="C8" s="10" t="n">
        <f aca="false">'Concreto por elementos'!I9</f>
        <v>2.8539</v>
      </c>
      <c r="D8" s="7" t="s">
        <v>11</v>
      </c>
    </row>
    <row r="9" customFormat="false" ht="15" hidden="false" customHeight="false" outlineLevel="0" collapsed="false">
      <c r="A9" s="4" t="s">
        <v>12</v>
      </c>
      <c r="B9" s="9"/>
      <c r="C9" s="11" t="n">
        <f aca="false">ACERO!H99</f>
        <v>34</v>
      </c>
      <c r="D9" s="7" t="s">
        <v>13</v>
      </c>
    </row>
    <row r="10" customFormat="false" ht="15" hidden="false" customHeight="false" outlineLevel="0" collapsed="false">
      <c r="A10" s="4" t="s">
        <v>14</v>
      </c>
      <c r="B10" s="9"/>
      <c r="C10" s="11" t="n">
        <f aca="false">ACERO!H105+1</f>
        <v>21</v>
      </c>
      <c r="D10" s="7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2"/>
    <col collapsed="false" customWidth="true" hidden="false" outlineLevel="0" max="3" min="3" style="0" width="8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1" t="s">
        <v>15</v>
      </c>
    </row>
    <row r="2" customFormat="false" ht="15" hidden="false" customHeight="false" outlineLevel="0" collapsed="false">
      <c r="A2" s="2" t="s">
        <v>16</v>
      </c>
    </row>
    <row r="4" customFormat="false" ht="15" hidden="false" customHeight="false" outlineLevel="0" collapsed="false">
      <c r="A4" s="3" t="s">
        <v>17</v>
      </c>
      <c r="B4" s="3" t="s">
        <v>18</v>
      </c>
      <c r="C4" s="3" t="s">
        <v>5</v>
      </c>
      <c r="D4" s="3" t="s">
        <v>19</v>
      </c>
    </row>
    <row r="5" customFormat="false" ht="15" hidden="false" customHeight="false" outlineLevel="0" collapsed="false">
      <c r="A5" s="4" t="s">
        <v>20</v>
      </c>
      <c r="B5" s="12" t="n">
        <v>0.05</v>
      </c>
      <c r="C5" s="4"/>
      <c r="D5" s="4" t="s">
        <v>21</v>
      </c>
    </row>
    <row r="6" customFormat="false" ht="15" hidden="false" customHeight="false" outlineLevel="0" collapsed="false">
      <c r="A6" s="4" t="s">
        <v>22</v>
      </c>
      <c r="B6" s="12" t="n">
        <v>0.05</v>
      </c>
      <c r="C6" s="4"/>
      <c r="D6" s="4" t="s">
        <v>21</v>
      </c>
    </row>
    <row r="7" customFormat="false" ht="15" hidden="false" customHeight="false" outlineLevel="0" collapsed="false">
      <c r="A7" s="4" t="s">
        <v>23</v>
      </c>
      <c r="B7" s="13" t="n">
        <v>21</v>
      </c>
      <c r="C7" s="4" t="s">
        <v>24</v>
      </c>
      <c r="D7" s="4" t="s">
        <v>25</v>
      </c>
    </row>
    <row r="8" customFormat="false" ht="15" hidden="false" customHeight="false" outlineLevel="0" collapsed="false">
      <c r="A8" s="4" t="s">
        <v>26</v>
      </c>
      <c r="B8" s="13" t="n">
        <v>420</v>
      </c>
      <c r="C8" s="4" t="s">
        <v>24</v>
      </c>
      <c r="D8" s="4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C2:J1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4"/>
    <col collapsed="false" customWidth="true" hidden="false" outlineLevel="0" max="3" min="3" style="0" width="52"/>
    <col collapsed="false" customWidth="true" hidden="false" outlineLevel="0" max="4" min="4" style="0" width="24"/>
    <col collapsed="false" customWidth="true" hidden="false" outlineLevel="0" max="5" min="5" style="0" width="14"/>
    <col collapsed="false" customWidth="true" hidden="false" outlineLevel="0" max="6" min="6" style="0" width="26"/>
    <col collapsed="false" customWidth="true" hidden="false" outlineLevel="0" max="7" min="7" style="0" width="13"/>
    <col collapsed="false" customWidth="true" hidden="false" outlineLevel="0" max="10" min="8" style="0" width="9"/>
  </cols>
  <sheetData>
    <row r="2" customFormat="false" ht="17.35" hidden="false" customHeight="false" outlineLevel="0" collapsed="false">
      <c r="C2" s="14" t="s">
        <v>27</v>
      </c>
    </row>
    <row r="3" customFormat="false" ht="23.85" hidden="false" customHeight="false" outlineLevel="0" collapsed="false">
      <c r="C3" s="15" t="s">
        <v>28</v>
      </c>
    </row>
    <row r="5" customFormat="false" ht="15" hidden="false" customHeight="false" outlineLevel="0" collapsed="false">
      <c r="C5" s="16" t="s">
        <v>29</v>
      </c>
      <c r="D5" s="16"/>
      <c r="E5" s="16"/>
      <c r="F5" s="16"/>
      <c r="G5" s="16"/>
      <c r="H5" s="16"/>
      <c r="I5" s="16"/>
      <c r="J5" s="16"/>
    </row>
    <row r="6" customFormat="false" ht="28.35" hidden="false" customHeight="true" outlineLevel="0" collapsed="false">
      <c r="C6" s="17" t="s">
        <v>30</v>
      </c>
      <c r="D6" s="18" t="s">
        <v>31</v>
      </c>
      <c r="E6" s="18" t="s">
        <v>32</v>
      </c>
      <c r="F6" s="18" t="s">
        <v>33</v>
      </c>
      <c r="G6" s="18" t="s">
        <v>34</v>
      </c>
      <c r="H6" s="18" t="s">
        <v>35</v>
      </c>
      <c r="I6" s="18"/>
      <c r="J6" s="18"/>
    </row>
    <row r="7" customFormat="false" ht="15" hidden="false" customHeight="false" outlineLevel="0" collapsed="false">
      <c r="C7" s="19" t="s">
        <v>36</v>
      </c>
      <c r="D7" s="20" t="s">
        <v>37</v>
      </c>
      <c r="E7" s="21" t="n">
        <v>0.2</v>
      </c>
      <c r="F7" s="22" t="n">
        <f aca="false">(ROUNDUP(2.08/0.2,0)+1)*2</f>
        <v>24</v>
      </c>
      <c r="G7" s="23" t="n">
        <v>2.2</v>
      </c>
      <c r="H7" s="24" t="n">
        <f aca="false">F7*G7</f>
        <v>52.8</v>
      </c>
      <c r="I7" s="24"/>
      <c r="J7" s="24"/>
    </row>
    <row r="8" customFormat="false" ht="15" hidden="false" customHeight="false" outlineLevel="0" collapsed="false">
      <c r="C8" s="19" t="s">
        <v>38</v>
      </c>
      <c r="D8" s="20" t="s">
        <v>39</v>
      </c>
      <c r="E8" s="21" t="n">
        <v>0.2</v>
      </c>
      <c r="F8" s="22" t="n">
        <f aca="false">(ROUNDUP(1.68/0.2,0)+1)*2</f>
        <v>20</v>
      </c>
      <c r="G8" s="23" t="n">
        <v>2.6</v>
      </c>
      <c r="H8" s="24" t="n">
        <f aca="false">F8*G8</f>
        <v>52</v>
      </c>
      <c r="I8" s="24"/>
      <c r="J8" s="24"/>
    </row>
    <row r="9" customFormat="false" ht="15" hidden="false" customHeight="false" outlineLevel="0" collapsed="false">
      <c r="C9" s="19" t="s">
        <v>40</v>
      </c>
      <c r="D9" s="20" t="s">
        <v>41</v>
      </c>
      <c r="E9" s="21" t="n">
        <v>0.2</v>
      </c>
      <c r="F9" s="22" t="n">
        <f aca="false">(ROUNDUP(1.2/0.2,0)+1)*2</f>
        <v>14</v>
      </c>
      <c r="G9" s="23" t="n">
        <v>2.1</v>
      </c>
      <c r="H9" s="24" t="n">
        <f aca="false">F9*G9</f>
        <v>29.4</v>
      </c>
      <c r="I9" s="24"/>
      <c r="J9" s="24"/>
    </row>
    <row r="10" customFormat="false" ht="15" hidden="false" customHeight="false" outlineLevel="0" collapsed="false">
      <c r="C10" s="19" t="s">
        <v>42</v>
      </c>
      <c r="D10" s="20" t="s">
        <v>43</v>
      </c>
      <c r="E10" s="21" t="n">
        <v>0.2</v>
      </c>
      <c r="F10" s="22" t="n">
        <f aca="false">(ROUNDUP(1.2/0.2,0)+1)*2</f>
        <v>14</v>
      </c>
      <c r="G10" s="23" t="n">
        <v>2.5</v>
      </c>
      <c r="H10" s="24" t="n">
        <f aca="false">F10*G10</f>
        <v>35</v>
      </c>
      <c r="I10" s="24"/>
      <c r="J10" s="24"/>
    </row>
    <row r="11" customFormat="false" ht="15" hidden="false" customHeight="false" outlineLevel="0" collapsed="false">
      <c r="C11" s="19" t="s">
        <v>44</v>
      </c>
      <c r="D11" s="20" t="s">
        <v>45</v>
      </c>
      <c r="E11" s="21" t="n">
        <v>0.2</v>
      </c>
      <c r="F11" s="22" t="n">
        <f aca="false">(ROUNDUP(1.3/0.2,0)+1)*2</f>
        <v>16</v>
      </c>
      <c r="G11" s="23" t="n">
        <v>1.75</v>
      </c>
      <c r="H11" s="24" t="n">
        <f aca="false">F11*G11</f>
        <v>28</v>
      </c>
      <c r="I11" s="24"/>
      <c r="J11" s="24"/>
    </row>
    <row r="12" customFormat="false" ht="15" hidden="false" customHeight="false" outlineLevel="0" collapsed="false">
      <c r="C12" s="19" t="s">
        <v>46</v>
      </c>
      <c r="D12" s="20" t="s">
        <v>45</v>
      </c>
      <c r="E12" s="21" t="n">
        <v>0.2</v>
      </c>
      <c r="F12" s="22" t="n">
        <f aca="false">(ROUNDUP(1.7/0.2,0)+1)*2</f>
        <v>20</v>
      </c>
      <c r="G12" s="23" t="n">
        <v>1.75</v>
      </c>
      <c r="H12" s="24" t="n">
        <f aca="false">F12*G12</f>
        <v>35</v>
      </c>
      <c r="I12" s="24"/>
      <c r="J12" s="24"/>
    </row>
    <row r="13" customFormat="false" ht="15" hidden="false" customHeight="false" outlineLevel="0" collapsed="false">
      <c r="C13" s="19" t="s">
        <v>47</v>
      </c>
      <c r="D13" s="20" t="s">
        <v>48</v>
      </c>
      <c r="E13" s="21" t="s">
        <v>49</v>
      </c>
      <c r="F13" s="22" t="n">
        <f aca="false">4*4</f>
        <v>16</v>
      </c>
      <c r="G13" s="23" t="n">
        <v>1.8</v>
      </c>
      <c r="H13" s="24" t="n">
        <f aca="false">F13*G13</f>
        <v>28.8</v>
      </c>
      <c r="I13" s="24"/>
      <c r="J13" s="24"/>
    </row>
    <row r="14" customFormat="false" ht="15" hidden="false" customHeight="false" outlineLevel="0" collapsed="false">
      <c r="C14" s="25" t="s">
        <v>50</v>
      </c>
      <c r="D14" s="26"/>
      <c r="E14" s="26"/>
      <c r="F14" s="27" t="n">
        <f aca="false">SUM(F7:F13)</f>
        <v>124</v>
      </c>
      <c r="G14" s="26"/>
      <c r="H14" s="26" t="n">
        <f aca="false">SUM(H7:H13)</f>
        <v>261</v>
      </c>
      <c r="I14" s="26"/>
      <c r="J14" s="26"/>
    </row>
    <row r="17" customFormat="false" ht="15" hidden="false" customHeight="false" outlineLevel="0" collapsed="false">
      <c r="C17" s="16" t="s">
        <v>51</v>
      </c>
      <c r="D17" s="16"/>
      <c r="E17" s="16"/>
      <c r="F17" s="16"/>
      <c r="G17" s="16"/>
      <c r="H17" s="16"/>
      <c r="I17" s="16"/>
      <c r="J17" s="16"/>
    </row>
    <row r="18" customFormat="false" ht="28.35" hidden="false" customHeight="true" outlineLevel="0" collapsed="false">
      <c r="C18" s="17" t="s">
        <v>30</v>
      </c>
      <c r="D18" s="18" t="s">
        <v>31</v>
      </c>
      <c r="E18" s="18" t="s">
        <v>32</v>
      </c>
      <c r="F18" s="18" t="s">
        <v>33</v>
      </c>
      <c r="G18" s="18" t="s">
        <v>34</v>
      </c>
      <c r="H18" s="18" t="s">
        <v>35</v>
      </c>
      <c r="I18" s="18"/>
      <c r="J18" s="18"/>
    </row>
    <row r="19" customFormat="false" ht="15" hidden="false" customHeight="false" outlineLevel="0" collapsed="false">
      <c r="C19" s="19" t="s">
        <v>52</v>
      </c>
      <c r="D19" s="20" t="s">
        <v>53</v>
      </c>
      <c r="E19" s="21" t="n">
        <v>0.075</v>
      </c>
      <c r="F19" s="22" t="n">
        <f aca="false">(ROUNDUP(1.4/0.075,0)+1)*4</f>
        <v>80</v>
      </c>
      <c r="G19" s="23" t="n">
        <v>1.5</v>
      </c>
      <c r="H19" s="24" t="n">
        <f aca="false">F19*G19</f>
        <v>120</v>
      </c>
      <c r="I19" s="24"/>
      <c r="J19" s="24"/>
    </row>
    <row r="20" customFormat="false" ht="15" hidden="false" customHeight="false" outlineLevel="0" collapsed="false">
      <c r="C20" s="25" t="s">
        <v>50</v>
      </c>
      <c r="D20" s="26"/>
      <c r="E20" s="26"/>
      <c r="F20" s="27" t="n">
        <f aca="false">SUM(F19:F19)</f>
        <v>80</v>
      </c>
      <c r="G20" s="26"/>
      <c r="H20" s="26" t="n">
        <f aca="false">SUM(H19:H19)</f>
        <v>120</v>
      </c>
      <c r="I20" s="26"/>
      <c r="J20" s="26"/>
    </row>
    <row r="23" customFormat="false" ht="15" hidden="false" customHeight="false" outlineLevel="0" collapsed="false">
      <c r="C23" s="16" t="s">
        <v>54</v>
      </c>
      <c r="D23" s="16"/>
      <c r="E23" s="16"/>
      <c r="F23" s="16"/>
      <c r="G23" s="16"/>
      <c r="H23" s="16"/>
      <c r="I23" s="16"/>
      <c r="J23" s="16"/>
    </row>
    <row r="24" customFormat="false" ht="15" hidden="false" customHeight="false" outlineLevel="0" collapsed="false">
      <c r="C24" s="19" t="s">
        <v>6</v>
      </c>
      <c r="D24" s="20"/>
      <c r="E24" s="20"/>
      <c r="F24" s="20"/>
      <c r="G24" s="20"/>
      <c r="H24" s="24" t="n">
        <f aca="false">H14</f>
        <v>261</v>
      </c>
      <c r="I24" s="24"/>
      <c r="J24" s="24"/>
    </row>
    <row r="25" customFormat="false" ht="15" hidden="false" customHeight="false" outlineLevel="0" collapsed="false">
      <c r="C25" s="19" t="s">
        <v>8</v>
      </c>
      <c r="D25" s="20"/>
      <c r="E25" s="20"/>
      <c r="F25" s="20"/>
      <c r="G25" s="20"/>
      <c r="H25" s="24" t="n">
        <f aca="false">H20</f>
        <v>120</v>
      </c>
      <c r="I25" s="24"/>
      <c r="J25" s="24"/>
    </row>
    <row r="26" customFormat="false" ht="15" hidden="false" customHeight="false" outlineLevel="0" collapsed="false">
      <c r="C26" s="25" t="s">
        <v>55</v>
      </c>
      <c r="D26" s="26"/>
      <c r="E26" s="26"/>
      <c r="F26" s="26"/>
      <c r="G26" s="26"/>
      <c r="H26" s="26" t="n">
        <f aca="false">H24+H25</f>
        <v>381</v>
      </c>
      <c r="I26" s="26"/>
      <c r="J26" s="26"/>
    </row>
    <row r="27" customFormat="false" ht="15" hidden="false" customHeight="false" outlineLevel="0" collapsed="false">
      <c r="C27" s="19" t="s">
        <v>56</v>
      </c>
      <c r="D27" s="20"/>
      <c r="E27" s="20"/>
      <c r="F27" s="20"/>
      <c r="G27" s="28" t="n">
        <f aca="false">Parámetros!$B$5</f>
        <v>0.05</v>
      </c>
      <c r="H27" s="24" t="n">
        <f aca="false">H26*G27</f>
        <v>19.05</v>
      </c>
      <c r="I27" s="24"/>
      <c r="J27" s="24"/>
    </row>
    <row r="28" customFormat="false" ht="15" hidden="false" customHeight="false" outlineLevel="0" collapsed="false">
      <c r="C28" s="29" t="s">
        <v>57</v>
      </c>
      <c r="D28" s="30"/>
      <c r="E28" s="30"/>
      <c r="F28" s="30"/>
      <c r="G28" s="30"/>
      <c r="H28" s="30" t="n">
        <f aca="false">H26+H27</f>
        <v>400.05</v>
      </c>
      <c r="I28" s="30"/>
      <c r="J28" s="30"/>
    </row>
    <row r="31" customFormat="false" ht="15" hidden="false" customHeight="false" outlineLevel="0" collapsed="false">
      <c r="C31" s="16" t="s">
        <v>58</v>
      </c>
      <c r="D31" s="16"/>
      <c r="E31" s="16"/>
      <c r="F31" s="16"/>
      <c r="G31" s="16"/>
      <c r="H31" s="16"/>
      <c r="I31" s="16"/>
      <c r="J31" s="16"/>
    </row>
    <row r="32" customFormat="false" ht="28.35" hidden="false" customHeight="true" outlineLevel="0" collapsed="false">
      <c r="C32" s="17" t="s">
        <v>59</v>
      </c>
      <c r="D32" s="18" t="s">
        <v>60</v>
      </c>
      <c r="E32" s="18" t="s">
        <v>61</v>
      </c>
      <c r="F32" s="18" t="s">
        <v>62</v>
      </c>
      <c r="G32" s="18" t="s">
        <v>63</v>
      </c>
      <c r="H32" s="18" t="s">
        <v>64</v>
      </c>
      <c r="I32" s="18"/>
      <c r="J32" s="18"/>
    </row>
    <row r="33" customFormat="false" ht="15" hidden="false" customHeight="false" outlineLevel="0" collapsed="false">
      <c r="C33" s="31" t="s">
        <v>65</v>
      </c>
      <c r="D33" s="32" t="n">
        <v>1.05</v>
      </c>
      <c r="E33" s="33" t="s">
        <v>66</v>
      </c>
      <c r="F33" s="34" t="n">
        <v>0.75</v>
      </c>
      <c r="G33" s="35" t="n">
        <f aca="false">D33-F33</f>
        <v>0.3</v>
      </c>
      <c r="H33" s="35" t="n">
        <f aca="false">F33</f>
        <v>0.75</v>
      </c>
      <c r="I33" s="35"/>
      <c r="J33" s="35"/>
    </row>
    <row r="34" customFormat="false" ht="15" hidden="false" customHeight="false" outlineLevel="0" collapsed="false">
      <c r="C34" s="31" t="s">
        <v>67</v>
      </c>
      <c r="D34" s="32" t="n">
        <v>1.765</v>
      </c>
      <c r="E34" s="33" t="s">
        <v>68</v>
      </c>
      <c r="F34" s="34" t="n">
        <v>1.75</v>
      </c>
      <c r="G34" s="35" t="n">
        <f aca="false">D34-F34</f>
        <v>0.0149999999999999</v>
      </c>
      <c r="H34" s="35" t="n">
        <f aca="false">F34</f>
        <v>1.75</v>
      </c>
      <c r="I34" s="35"/>
      <c r="J34" s="35"/>
    </row>
    <row r="35" customFormat="false" ht="15" hidden="false" customHeight="false" outlineLevel="0" collapsed="false">
      <c r="C35" s="31" t="s">
        <v>69</v>
      </c>
      <c r="D35" s="32" t="n">
        <v>1.765</v>
      </c>
      <c r="E35" s="33" t="s">
        <v>68</v>
      </c>
      <c r="F35" s="34" t="n">
        <v>1.75</v>
      </c>
      <c r="G35" s="35" t="n">
        <f aca="false">D35-F35</f>
        <v>0.0149999999999999</v>
      </c>
      <c r="H35" s="35" t="n">
        <f aca="false">F35</f>
        <v>1.75</v>
      </c>
      <c r="I35" s="35"/>
      <c r="J35" s="35"/>
    </row>
    <row r="36" customFormat="false" ht="15" hidden="false" customHeight="false" outlineLevel="0" collapsed="false">
      <c r="C36" s="31" t="s">
        <v>70</v>
      </c>
      <c r="D36" s="32" t="n">
        <v>1.047</v>
      </c>
      <c r="E36" s="33" t="s">
        <v>66</v>
      </c>
      <c r="F36" s="34" t="n">
        <v>0.75</v>
      </c>
      <c r="G36" s="35" t="n">
        <f aca="false">D36-F36</f>
        <v>0.297</v>
      </c>
      <c r="H36" s="35" t="n">
        <f aca="false">F36</f>
        <v>0.75</v>
      </c>
      <c r="I36" s="35"/>
      <c r="J36" s="35"/>
    </row>
    <row r="37" customFormat="false" ht="15" hidden="false" customHeight="false" outlineLevel="0" collapsed="false">
      <c r="C37" s="31" t="s">
        <v>71</v>
      </c>
      <c r="D37" s="32" t="n">
        <v>1.062</v>
      </c>
      <c r="E37" s="33" t="s">
        <v>66</v>
      </c>
      <c r="F37" s="34" t="n">
        <v>0.75</v>
      </c>
      <c r="G37" s="35" t="n">
        <f aca="false">D37-F37</f>
        <v>0.312</v>
      </c>
      <c r="H37" s="35" t="n">
        <f aca="false">F37</f>
        <v>0.75</v>
      </c>
      <c r="I37" s="35"/>
      <c r="J37" s="35"/>
    </row>
    <row r="38" customFormat="false" ht="15" hidden="false" customHeight="false" outlineLevel="0" collapsed="false">
      <c r="C38" s="31" t="s">
        <v>72</v>
      </c>
      <c r="D38" s="32" t="n">
        <v>1.06</v>
      </c>
      <c r="E38" s="33" t="s">
        <v>66</v>
      </c>
      <c r="F38" s="34" t="n">
        <v>0.75</v>
      </c>
      <c r="G38" s="35" t="n">
        <f aca="false">D38-F38</f>
        <v>0.31</v>
      </c>
      <c r="H38" s="35" t="n">
        <f aca="false">F38</f>
        <v>0.75</v>
      </c>
      <c r="I38" s="35"/>
      <c r="J38" s="35"/>
    </row>
    <row r="39" customFormat="false" ht="15" hidden="false" customHeight="false" outlineLevel="0" collapsed="false">
      <c r="C39" s="31" t="s">
        <v>73</v>
      </c>
      <c r="D39" s="32" t="n">
        <v>0.777</v>
      </c>
      <c r="E39" s="33" t="s">
        <v>66</v>
      </c>
      <c r="F39" s="34" t="n">
        <v>0.75</v>
      </c>
      <c r="G39" s="35" t="n">
        <f aca="false">D39-F39</f>
        <v>0.027</v>
      </c>
      <c r="H39" s="35" t="n">
        <f aca="false">F39</f>
        <v>0.75</v>
      </c>
      <c r="I39" s="35"/>
      <c r="J39" s="35"/>
    </row>
    <row r="40" customFormat="false" ht="15" hidden="false" customHeight="false" outlineLevel="0" collapsed="false">
      <c r="C40" s="31" t="s">
        <v>74</v>
      </c>
      <c r="D40" s="32" t="n">
        <v>0.767</v>
      </c>
      <c r="E40" s="33" t="s">
        <v>66</v>
      </c>
      <c r="F40" s="34" t="n">
        <v>0.75</v>
      </c>
      <c r="G40" s="35" t="n">
        <f aca="false">D40-F40</f>
        <v>0.017</v>
      </c>
      <c r="H40" s="35" t="n">
        <f aca="false">F40</f>
        <v>0.75</v>
      </c>
      <c r="I40" s="35"/>
      <c r="J40" s="35"/>
    </row>
    <row r="41" customFormat="false" ht="15" hidden="false" customHeight="false" outlineLevel="0" collapsed="false">
      <c r="C41" s="31" t="s">
        <v>75</v>
      </c>
      <c r="D41" s="32" t="n">
        <v>3.55</v>
      </c>
      <c r="E41" s="33" t="s">
        <v>76</v>
      </c>
      <c r="F41" s="34" t="n">
        <v>2.6</v>
      </c>
      <c r="G41" s="35" t="n">
        <f aca="false">D41-F41</f>
        <v>0.95</v>
      </c>
      <c r="H41" s="35" t="n">
        <f aca="false">F41</f>
        <v>2.6</v>
      </c>
      <c r="I41" s="35"/>
      <c r="J41" s="35"/>
    </row>
    <row r="42" customFormat="false" ht="15" hidden="false" customHeight="false" outlineLevel="0" collapsed="false">
      <c r="C42" s="31" t="s">
        <v>77</v>
      </c>
      <c r="D42" s="32" t="n">
        <v>2.29</v>
      </c>
      <c r="E42" s="33" t="s">
        <v>68</v>
      </c>
      <c r="F42" s="34" t="n">
        <v>1.75</v>
      </c>
      <c r="G42" s="35" t="n">
        <f aca="false">D42-F42</f>
        <v>0.54</v>
      </c>
      <c r="H42" s="35" t="n">
        <f aca="false">F42</f>
        <v>1.75</v>
      </c>
      <c r="I42" s="35"/>
      <c r="J42" s="35"/>
    </row>
    <row r="43" customFormat="false" ht="15" hidden="false" customHeight="false" outlineLevel="0" collapsed="false">
      <c r="C43" s="31" t="s">
        <v>78</v>
      </c>
      <c r="D43" s="32" t="n">
        <v>2.265</v>
      </c>
      <c r="E43" s="33" t="s">
        <v>68</v>
      </c>
      <c r="F43" s="34" t="n">
        <v>1.75</v>
      </c>
      <c r="G43" s="35" t="n">
        <f aca="false">D43-F43</f>
        <v>0.515</v>
      </c>
      <c r="H43" s="35" t="n">
        <f aca="false">F43</f>
        <v>1.75</v>
      </c>
      <c r="I43" s="35"/>
      <c r="J43" s="35"/>
    </row>
    <row r="44" customFormat="false" ht="15" hidden="false" customHeight="false" outlineLevel="0" collapsed="false">
      <c r="C44" s="31" t="s">
        <v>79</v>
      </c>
      <c r="D44" s="32" t="n">
        <v>2.04</v>
      </c>
      <c r="E44" s="33" t="s">
        <v>80</v>
      </c>
      <c r="F44" s="34" t="n">
        <v>1.8</v>
      </c>
      <c r="G44" s="35" t="n">
        <f aca="false">D44-F44</f>
        <v>0.24</v>
      </c>
      <c r="H44" s="35" t="n">
        <f aca="false">F44</f>
        <v>1.8</v>
      </c>
      <c r="I44" s="35"/>
      <c r="J44" s="35"/>
    </row>
    <row r="45" customFormat="false" ht="15" hidden="false" customHeight="false" outlineLevel="0" collapsed="false">
      <c r="C45" s="31" t="s">
        <v>81</v>
      </c>
      <c r="D45" s="32" t="n">
        <v>2.705</v>
      </c>
      <c r="E45" s="33" t="s">
        <v>76</v>
      </c>
      <c r="F45" s="34" t="n">
        <v>2.6</v>
      </c>
      <c r="G45" s="35" t="n">
        <f aca="false">D45-F45</f>
        <v>0.105</v>
      </c>
      <c r="H45" s="35" t="n">
        <f aca="false">F45</f>
        <v>2.6</v>
      </c>
      <c r="I45" s="35"/>
      <c r="J45" s="35"/>
    </row>
    <row r="46" customFormat="false" ht="15" hidden="false" customHeight="false" outlineLevel="0" collapsed="false">
      <c r="C46" s="31" t="s">
        <v>82</v>
      </c>
      <c r="D46" s="32" t="n">
        <v>2.352</v>
      </c>
      <c r="E46" s="33" t="s">
        <v>83</v>
      </c>
      <c r="F46" s="34" t="n">
        <v>2.1</v>
      </c>
      <c r="G46" s="35" t="n">
        <f aca="false">D46-F46</f>
        <v>0.252</v>
      </c>
      <c r="H46" s="35" t="n">
        <f aca="false">F46</f>
        <v>2.1</v>
      </c>
      <c r="I46" s="35"/>
      <c r="J46" s="35"/>
    </row>
    <row r="47" customFormat="false" ht="15" hidden="false" customHeight="false" outlineLevel="0" collapsed="false">
      <c r="C47" s="31" t="s">
        <v>84</v>
      </c>
      <c r="D47" s="32" t="n">
        <v>2.415</v>
      </c>
      <c r="E47" s="33" t="s">
        <v>85</v>
      </c>
      <c r="F47" s="34" t="n">
        <v>2.2</v>
      </c>
      <c r="G47" s="35" t="n">
        <f aca="false">D47-F47</f>
        <v>0.215</v>
      </c>
      <c r="H47" s="35" t="n">
        <f aca="false">F47</f>
        <v>2.2</v>
      </c>
      <c r="I47" s="35"/>
      <c r="J47" s="35"/>
    </row>
    <row r="48" customFormat="false" ht="15" hidden="false" customHeight="false" outlineLevel="0" collapsed="false">
      <c r="C48" s="31" t="s">
        <v>86</v>
      </c>
      <c r="D48" s="32" t="n">
        <v>2.33</v>
      </c>
      <c r="E48" s="33" t="s">
        <v>85</v>
      </c>
      <c r="F48" s="34" t="n">
        <v>2.2</v>
      </c>
      <c r="G48" s="35" t="n">
        <f aca="false">D48-F48</f>
        <v>0.13</v>
      </c>
      <c r="H48" s="35" t="n">
        <f aca="false">F48</f>
        <v>2.2</v>
      </c>
      <c r="I48" s="35"/>
      <c r="J48" s="35"/>
    </row>
    <row r="49" customFormat="false" ht="15" hidden="false" customHeight="false" outlineLevel="0" collapsed="false">
      <c r="C49" s="31" t="s">
        <v>87</v>
      </c>
      <c r="D49" s="32" t="n">
        <v>1.943</v>
      </c>
      <c r="E49" s="33" t="s">
        <v>80</v>
      </c>
      <c r="F49" s="34" t="n">
        <v>1.8</v>
      </c>
      <c r="G49" s="35" t="n">
        <f aca="false">D49-F49</f>
        <v>0.143</v>
      </c>
      <c r="H49" s="35" t="n">
        <f aca="false">F49</f>
        <v>1.8</v>
      </c>
      <c r="I49" s="35"/>
      <c r="J49" s="35"/>
    </row>
    <row r="50" customFormat="false" ht="15" hidden="false" customHeight="false" outlineLevel="0" collapsed="false">
      <c r="C50" s="31" t="s">
        <v>88</v>
      </c>
      <c r="D50" s="32" t="n">
        <v>1.874</v>
      </c>
      <c r="E50" s="33" t="s">
        <v>80</v>
      </c>
      <c r="F50" s="34" t="n">
        <v>1.8</v>
      </c>
      <c r="G50" s="35" t="n">
        <f aca="false">D50-F50</f>
        <v>0.0740000000000001</v>
      </c>
      <c r="H50" s="35" t="n">
        <f aca="false">F50</f>
        <v>1.8</v>
      </c>
      <c r="I50" s="35"/>
      <c r="J50" s="35"/>
    </row>
    <row r="51" customFormat="false" ht="15" hidden="false" customHeight="false" outlineLevel="0" collapsed="false">
      <c r="C51" s="31" t="s">
        <v>89</v>
      </c>
      <c r="D51" s="32" t="n">
        <v>2.267</v>
      </c>
      <c r="E51" s="33" t="s">
        <v>85</v>
      </c>
      <c r="F51" s="34" t="n">
        <v>2.2</v>
      </c>
      <c r="G51" s="35" t="n">
        <f aca="false">D51-F51</f>
        <v>0.0669999999999997</v>
      </c>
      <c r="H51" s="35" t="n">
        <f aca="false">F51</f>
        <v>2.2</v>
      </c>
      <c r="I51" s="35"/>
      <c r="J51" s="35"/>
    </row>
    <row r="52" customFormat="false" ht="15" hidden="false" customHeight="false" outlineLevel="0" collapsed="false">
      <c r="C52" s="31" t="s">
        <v>90</v>
      </c>
      <c r="D52" s="32" t="n">
        <v>2.393</v>
      </c>
      <c r="E52" s="33" t="s">
        <v>85</v>
      </c>
      <c r="F52" s="34" t="n">
        <v>2.2</v>
      </c>
      <c r="G52" s="35" t="n">
        <f aca="false">D52-F52</f>
        <v>0.193</v>
      </c>
      <c r="H52" s="35" t="n">
        <f aca="false">F52</f>
        <v>2.2</v>
      </c>
      <c r="I52" s="35"/>
      <c r="J52" s="35"/>
    </row>
    <row r="53" customFormat="false" ht="15" hidden="false" customHeight="false" outlineLevel="0" collapsed="false">
      <c r="C53" s="31" t="s">
        <v>91</v>
      </c>
      <c r="D53" s="32" t="n">
        <v>2.322</v>
      </c>
      <c r="E53" s="33" t="s">
        <v>85</v>
      </c>
      <c r="F53" s="34" t="n">
        <v>2.2</v>
      </c>
      <c r="G53" s="35" t="n">
        <f aca="false">D53-F53</f>
        <v>0.122</v>
      </c>
      <c r="H53" s="35" t="n">
        <f aca="false">F53</f>
        <v>2.2</v>
      </c>
      <c r="I53" s="35"/>
      <c r="J53" s="35"/>
    </row>
    <row r="54" customFormat="false" ht="15" hidden="false" customHeight="false" outlineLevel="0" collapsed="false">
      <c r="C54" s="31" t="s">
        <v>92</v>
      </c>
      <c r="D54" s="32" t="n">
        <v>2.724</v>
      </c>
      <c r="E54" s="33" t="s">
        <v>76</v>
      </c>
      <c r="F54" s="34" t="n">
        <v>2.6</v>
      </c>
      <c r="G54" s="35" t="n">
        <f aca="false">D54-F54</f>
        <v>0.124</v>
      </c>
      <c r="H54" s="35" t="n">
        <f aca="false">F54</f>
        <v>2.6</v>
      </c>
      <c r="I54" s="35"/>
      <c r="J54" s="35"/>
    </row>
    <row r="55" customFormat="false" ht="15" hidden="false" customHeight="false" outlineLevel="0" collapsed="false">
      <c r="C55" s="31" t="s">
        <v>93</v>
      </c>
      <c r="D55" s="32" t="n">
        <v>2.705</v>
      </c>
      <c r="E55" s="33" t="s">
        <v>76</v>
      </c>
      <c r="F55" s="34" t="n">
        <v>2.6</v>
      </c>
      <c r="G55" s="35" t="n">
        <f aca="false">D55-F55</f>
        <v>0.105</v>
      </c>
      <c r="H55" s="35" t="n">
        <f aca="false">F55</f>
        <v>2.6</v>
      </c>
      <c r="I55" s="35"/>
      <c r="J55" s="35"/>
    </row>
    <row r="56" customFormat="false" ht="15" hidden="false" customHeight="false" outlineLevel="0" collapsed="false">
      <c r="C56" s="31" t="s">
        <v>94</v>
      </c>
      <c r="D56" s="32" t="n">
        <v>2.387</v>
      </c>
      <c r="E56" s="33" t="s">
        <v>85</v>
      </c>
      <c r="F56" s="34" t="n">
        <v>2.2</v>
      </c>
      <c r="G56" s="35" t="n">
        <f aca="false">D56-F56</f>
        <v>0.187</v>
      </c>
      <c r="H56" s="35" t="n">
        <f aca="false">F56</f>
        <v>2.2</v>
      </c>
      <c r="I56" s="35"/>
      <c r="J56" s="35"/>
    </row>
    <row r="57" customFormat="false" ht="15" hidden="false" customHeight="false" outlineLevel="0" collapsed="false">
      <c r="C57" s="31" t="s">
        <v>95</v>
      </c>
      <c r="D57" s="32" t="n">
        <v>2.371</v>
      </c>
      <c r="E57" s="33" t="s">
        <v>85</v>
      </c>
      <c r="F57" s="34" t="n">
        <v>2.2</v>
      </c>
      <c r="G57" s="35" t="n">
        <f aca="false">D57-F57</f>
        <v>0.171</v>
      </c>
      <c r="H57" s="35" t="n">
        <f aca="false">F57</f>
        <v>2.2</v>
      </c>
      <c r="I57" s="35"/>
      <c r="J57" s="35"/>
    </row>
    <row r="58" customFormat="false" ht="15" hidden="false" customHeight="false" outlineLevel="0" collapsed="false">
      <c r="C58" s="31" t="s">
        <v>96</v>
      </c>
      <c r="D58" s="32" t="n">
        <v>2.335</v>
      </c>
      <c r="E58" s="33" t="s">
        <v>85</v>
      </c>
      <c r="F58" s="34" t="n">
        <v>2.2</v>
      </c>
      <c r="G58" s="35" t="n">
        <f aca="false">D58-F58</f>
        <v>0.135</v>
      </c>
      <c r="H58" s="35" t="n">
        <f aca="false">F58</f>
        <v>2.2</v>
      </c>
      <c r="I58" s="35"/>
      <c r="J58" s="35"/>
    </row>
    <row r="59" customFormat="false" ht="15" hidden="false" customHeight="false" outlineLevel="0" collapsed="false">
      <c r="C59" s="31" t="s">
        <v>97</v>
      </c>
      <c r="D59" s="32" t="n">
        <v>1.878</v>
      </c>
      <c r="E59" s="33" t="s">
        <v>80</v>
      </c>
      <c r="F59" s="34" t="n">
        <v>1.8</v>
      </c>
      <c r="G59" s="35" t="n">
        <f aca="false">D59-F59</f>
        <v>0.0779999999999999</v>
      </c>
      <c r="H59" s="35" t="n">
        <f aca="false">F59</f>
        <v>1.8</v>
      </c>
      <c r="I59" s="35"/>
      <c r="J59" s="35"/>
    </row>
    <row r="60" customFormat="false" ht="15" hidden="false" customHeight="false" outlineLevel="0" collapsed="false">
      <c r="C60" s="31" t="s">
        <v>98</v>
      </c>
      <c r="D60" s="32" t="n">
        <v>2.335</v>
      </c>
      <c r="E60" s="33" t="s">
        <v>85</v>
      </c>
      <c r="F60" s="34" t="n">
        <v>2.2</v>
      </c>
      <c r="G60" s="35" t="n">
        <f aca="false">D60-F60</f>
        <v>0.135</v>
      </c>
      <c r="H60" s="35" t="n">
        <f aca="false">F60</f>
        <v>2.2</v>
      </c>
      <c r="I60" s="35"/>
      <c r="J60" s="35"/>
    </row>
    <row r="61" customFormat="false" ht="15" hidden="false" customHeight="false" outlineLevel="0" collapsed="false">
      <c r="C61" s="31" t="s">
        <v>99</v>
      </c>
      <c r="D61" s="32" t="n">
        <v>2.328</v>
      </c>
      <c r="E61" s="33" t="s">
        <v>85</v>
      </c>
      <c r="F61" s="34" t="n">
        <v>2.2</v>
      </c>
      <c r="G61" s="35" t="n">
        <f aca="false">D61-F61</f>
        <v>0.128</v>
      </c>
      <c r="H61" s="35" t="n">
        <f aca="false">F61</f>
        <v>2.2</v>
      </c>
      <c r="I61" s="35"/>
      <c r="J61" s="35"/>
    </row>
    <row r="62" customFormat="false" ht="15" hidden="false" customHeight="false" outlineLevel="0" collapsed="false">
      <c r="C62" s="31" t="s">
        <v>100</v>
      </c>
      <c r="D62" s="32" t="n">
        <v>1.87</v>
      </c>
      <c r="E62" s="33" t="s">
        <v>80</v>
      </c>
      <c r="F62" s="34" t="n">
        <v>1.8</v>
      </c>
      <c r="G62" s="35" t="n">
        <f aca="false">D62-F62</f>
        <v>0.0700000000000001</v>
      </c>
      <c r="H62" s="35" t="n">
        <f aca="false">F62</f>
        <v>1.8</v>
      </c>
      <c r="I62" s="35"/>
      <c r="J62" s="35"/>
    </row>
    <row r="63" customFormat="false" ht="15" hidden="false" customHeight="false" outlineLevel="0" collapsed="false">
      <c r="C63" s="31" t="s">
        <v>101</v>
      </c>
      <c r="D63" s="32" t="n">
        <v>0.932</v>
      </c>
      <c r="E63" s="33" t="s">
        <v>66</v>
      </c>
      <c r="F63" s="34" t="n">
        <v>0.75</v>
      </c>
      <c r="G63" s="35" t="n">
        <f aca="false">D63-F63</f>
        <v>0.182</v>
      </c>
      <c r="H63" s="35" t="n">
        <f aca="false">F63</f>
        <v>0.75</v>
      </c>
      <c r="I63" s="35"/>
      <c r="J63" s="35"/>
    </row>
    <row r="64" customFormat="false" ht="15" hidden="false" customHeight="false" outlineLevel="0" collapsed="false">
      <c r="C64" s="31" t="s">
        <v>102</v>
      </c>
      <c r="D64" s="32" t="n">
        <v>0.943</v>
      </c>
      <c r="E64" s="33" t="s">
        <v>66</v>
      </c>
      <c r="F64" s="34" t="n">
        <v>0.75</v>
      </c>
      <c r="G64" s="35" t="n">
        <f aca="false">D64-F64</f>
        <v>0.193</v>
      </c>
      <c r="H64" s="35" t="n">
        <f aca="false">F64</f>
        <v>0.75</v>
      </c>
      <c r="I64" s="35"/>
      <c r="J64" s="35"/>
    </row>
    <row r="65" customFormat="false" ht="15" hidden="false" customHeight="false" outlineLevel="0" collapsed="false">
      <c r="C65" s="31" t="s">
        <v>103</v>
      </c>
      <c r="D65" s="32" t="n">
        <v>2.392</v>
      </c>
      <c r="E65" s="33" t="s">
        <v>85</v>
      </c>
      <c r="F65" s="34" t="n">
        <v>2.2</v>
      </c>
      <c r="G65" s="35" t="n">
        <f aca="false">D65-F65</f>
        <v>0.192</v>
      </c>
      <c r="H65" s="35" t="n">
        <f aca="false">F65</f>
        <v>2.2</v>
      </c>
      <c r="I65" s="35"/>
      <c r="J65" s="35"/>
    </row>
    <row r="66" customFormat="false" ht="15" hidden="false" customHeight="false" outlineLevel="0" collapsed="false">
      <c r="C66" s="31" t="s">
        <v>104</v>
      </c>
      <c r="D66" s="32" t="n">
        <v>2.372</v>
      </c>
      <c r="E66" s="33" t="s">
        <v>85</v>
      </c>
      <c r="F66" s="34" t="n">
        <v>2.2</v>
      </c>
      <c r="G66" s="35" t="n">
        <f aca="false">D66-F66</f>
        <v>0.172</v>
      </c>
      <c r="H66" s="35" t="n">
        <f aca="false">F66</f>
        <v>2.2</v>
      </c>
      <c r="I66" s="35"/>
      <c r="J66" s="35"/>
    </row>
    <row r="67" customFormat="false" ht="15" hidden="false" customHeight="false" outlineLevel="0" collapsed="false">
      <c r="C67" s="31" t="s">
        <v>105</v>
      </c>
      <c r="D67" s="32" t="n">
        <v>2.467</v>
      </c>
      <c r="E67" s="33" t="s">
        <v>85</v>
      </c>
      <c r="F67" s="34" t="n">
        <v>2.2</v>
      </c>
      <c r="G67" s="35" t="n">
        <f aca="false">D67-F67</f>
        <v>0.267</v>
      </c>
      <c r="H67" s="35" t="n">
        <f aca="false">F67</f>
        <v>2.2</v>
      </c>
      <c r="I67" s="35"/>
      <c r="J67" s="35"/>
    </row>
    <row r="68" customFormat="false" ht="15" hidden="false" customHeight="false" outlineLevel="0" collapsed="false">
      <c r="C68" s="31" t="s">
        <v>106</v>
      </c>
      <c r="D68" s="32" t="n">
        <v>2.582</v>
      </c>
      <c r="E68" s="33" t="s">
        <v>107</v>
      </c>
      <c r="F68" s="34" t="n">
        <v>2.5</v>
      </c>
      <c r="G68" s="35" t="n">
        <f aca="false">D68-F68</f>
        <v>0.0819999999999999</v>
      </c>
      <c r="H68" s="35" t="n">
        <f aca="false">F68</f>
        <v>2.5</v>
      </c>
      <c r="I68" s="35"/>
      <c r="J68" s="35"/>
    </row>
    <row r="69" customFormat="false" ht="15" hidden="false" customHeight="false" outlineLevel="0" collapsed="false">
      <c r="C69" s="31" t="s">
        <v>108</v>
      </c>
      <c r="D69" s="32" t="n">
        <v>2.52</v>
      </c>
      <c r="E69" s="33" t="s">
        <v>107</v>
      </c>
      <c r="F69" s="34" t="n">
        <v>2.5</v>
      </c>
      <c r="G69" s="35" t="n">
        <f aca="false">D69-F69</f>
        <v>0.02</v>
      </c>
      <c r="H69" s="35" t="n">
        <f aca="false">F69</f>
        <v>2.5</v>
      </c>
      <c r="I69" s="35"/>
      <c r="J69" s="35"/>
    </row>
    <row r="70" customFormat="false" ht="15" hidden="false" customHeight="false" outlineLevel="0" collapsed="false">
      <c r="C70" s="31" t="s">
        <v>109</v>
      </c>
      <c r="D70" s="32" t="n">
        <v>3.095</v>
      </c>
      <c r="E70" s="33" t="s">
        <v>107</v>
      </c>
      <c r="F70" s="34" t="n">
        <v>2.5</v>
      </c>
      <c r="G70" s="35" t="n">
        <f aca="false">D70-F70</f>
        <v>0.595</v>
      </c>
      <c r="H70" s="35" t="n">
        <f aca="false">F70</f>
        <v>2.5</v>
      </c>
      <c r="I70" s="35"/>
      <c r="J70" s="35"/>
    </row>
    <row r="71" customFormat="false" ht="15" hidden="false" customHeight="false" outlineLevel="0" collapsed="false">
      <c r="C71" s="31" t="s">
        <v>110</v>
      </c>
      <c r="D71" s="32" t="n">
        <v>3.11</v>
      </c>
      <c r="E71" s="33" t="s">
        <v>76</v>
      </c>
      <c r="F71" s="34" t="n">
        <v>2.6</v>
      </c>
      <c r="G71" s="35" t="n">
        <f aca="false">D71-F71</f>
        <v>0.51</v>
      </c>
      <c r="H71" s="35" t="n">
        <f aca="false">F71</f>
        <v>2.6</v>
      </c>
      <c r="I71" s="35"/>
      <c r="J71" s="35"/>
    </row>
    <row r="72" customFormat="false" ht="15" hidden="false" customHeight="false" outlineLevel="0" collapsed="false">
      <c r="C72" s="31" t="s">
        <v>111</v>
      </c>
      <c r="D72" s="32" t="n">
        <v>2.39</v>
      </c>
      <c r="E72" s="33" t="s">
        <v>85</v>
      </c>
      <c r="F72" s="34" t="n">
        <v>2.2</v>
      </c>
      <c r="G72" s="35" t="n">
        <f aca="false">D72-F72</f>
        <v>0.19</v>
      </c>
      <c r="H72" s="35" t="n">
        <f aca="false">F72</f>
        <v>2.2</v>
      </c>
      <c r="I72" s="35"/>
      <c r="J72" s="35"/>
    </row>
    <row r="73" customFormat="false" ht="15" hidden="false" customHeight="false" outlineLevel="0" collapsed="false">
      <c r="C73" s="25" t="s">
        <v>112</v>
      </c>
      <c r="D73" s="26"/>
      <c r="E73" s="26"/>
      <c r="F73" s="26"/>
      <c r="G73" s="26"/>
      <c r="H73" s="26" t="n">
        <f aca="false">SUM(H33:H72)</f>
        <v>75.4</v>
      </c>
      <c r="I73" s="26"/>
      <c r="J73" s="26"/>
    </row>
    <row r="76" customFormat="false" ht="15" hidden="false" customHeight="false" outlineLevel="0" collapsed="false">
      <c r="C76" s="16" t="s">
        <v>113</v>
      </c>
      <c r="D76" s="16"/>
      <c r="E76" s="16"/>
      <c r="F76" s="16"/>
      <c r="G76" s="16"/>
      <c r="H76" s="16"/>
      <c r="I76" s="16"/>
      <c r="J76" s="16"/>
    </row>
    <row r="77" customFormat="false" ht="15" hidden="false" customHeight="true" outlineLevel="0" collapsed="false">
      <c r="C77" s="17" t="s">
        <v>114</v>
      </c>
      <c r="D77" s="18" t="s">
        <v>34</v>
      </c>
      <c r="E77" s="18" t="s">
        <v>115</v>
      </c>
      <c r="F77" s="18" t="s">
        <v>116</v>
      </c>
      <c r="G77" s="18" t="s">
        <v>117</v>
      </c>
      <c r="H77" s="18" t="s">
        <v>118</v>
      </c>
      <c r="I77" s="18"/>
      <c r="J77" s="18"/>
    </row>
    <row r="78" customFormat="false" ht="15" hidden="false" customHeight="false" outlineLevel="0" collapsed="false">
      <c r="C78" s="19" t="s">
        <v>36</v>
      </c>
      <c r="D78" s="24" t="n">
        <v>2.2</v>
      </c>
      <c r="E78" s="22" t="n">
        <v>24</v>
      </c>
      <c r="F78" s="22" t="n">
        <f aca="false">COUNTIF($E$33:$E$72,"L1")</f>
        <v>14</v>
      </c>
      <c r="G78" s="22" t="n">
        <f aca="false">E78-F78</f>
        <v>10</v>
      </c>
      <c r="H78" s="24" t="n">
        <f aca="false">G78*D78</f>
        <v>22</v>
      </c>
      <c r="I78" s="24"/>
      <c r="J78" s="24"/>
    </row>
    <row r="79" customFormat="false" ht="15" hidden="false" customHeight="false" outlineLevel="0" collapsed="false">
      <c r="C79" s="19" t="s">
        <v>38</v>
      </c>
      <c r="D79" s="24" t="n">
        <v>2.6</v>
      </c>
      <c r="E79" s="22" t="n">
        <v>20</v>
      </c>
      <c r="F79" s="22" t="n">
        <f aca="false">COUNTIF($E$33:$E$72,"L2")</f>
        <v>5</v>
      </c>
      <c r="G79" s="22" t="n">
        <f aca="false">E79-F79</f>
        <v>15</v>
      </c>
      <c r="H79" s="24" t="n">
        <f aca="false">G79*D79</f>
        <v>39</v>
      </c>
      <c r="I79" s="24"/>
      <c r="J79" s="24"/>
    </row>
    <row r="80" customFormat="false" ht="15" hidden="false" customHeight="false" outlineLevel="0" collapsed="false">
      <c r="C80" s="19" t="s">
        <v>40</v>
      </c>
      <c r="D80" s="24" t="n">
        <v>2.1</v>
      </c>
      <c r="E80" s="22" t="n">
        <v>14</v>
      </c>
      <c r="F80" s="22" t="n">
        <f aca="false">COUNTIF($E$33:$E$72,"M1")</f>
        <v>1</v>
      </c>
      <c r="G80" s="22" t="n">
        <f aca="false">E80-F80</f>
        <v>13</v>
      </c>
      <c r="H80" s="24" t="n">
        <f aca="false">G80*D80</f>
        <v>27.3</v>
      </c>
      <c r="I80" s="24"/>
      <c r="J80" s="24"/>
    </row>
    <row r="81" customFormat="false" ht="15" hidden="false" customHeight="false" outlineLevel="0" collapsed="false">
      <c r="C81" s="19" t="s">
        <v>42</v>
      </c>
      <c r="D81" s="24" t="n">
        <v>2.5</v>
      </c>
      <c r="E81" s="22" t="n">
        <v>14</v>
      </c>
      <c r="F81" s="22" t="n">
        <f aca="false">COUNTIF($E$33:$E$72,"M2")</f>
        <v>3</v>
      </c>
      <c r="G81" s="22" t="n">
        <f aca="false">E81-F81</f>
        <v>11</v>
      </c>
      <c r="H81" s="24" t="n">
        <f aca="false">G81*D81</f>
        <v>27.5</v>
      </c>
      <c r="I81" s="24"/>
      <c r="J81" s="24"/>
    </row>
    <row r="82" customFormat="false" ht="15" hidden="false" customHeight="false" outlineLevel="0" collapsed="false">
      <c r="C82" s="19" t="s">
        <v>119</v>
      </c>
      <c r="D82" s="24" t="n">
        <v>1.75</v>
      </c>
      <c r="E82" s="22" t="n">
        <v>36</v>
      </c>
      <c r="F82" s="22" t="n">
        <f aca="false">COUNTIF($E$33:$E$72,"M3/M4")</f>
        <v>4</v>
      </c>
      <c r="G82" s="22" t="n">
        <f aca="false">E82-F82</f>
        <v>32</v>
      </c>
      <c r="H82" s="24" t="n">
        <f aca="false">G82*D82</f>
        <v>56</v>
      </c>
      <c r="I82" s="24"/>
      <c r="J82" s="24"/>
    </row>
    <row r="83" customFormat="false" ht="15" hidden="false" customHeight="false" outlineLevel="0" collapsed="false">
      <c r="C83" s="19" t="s">
        <v>47</v>
      </c>
      <c r="D83" s="24" t="n">
        <v>1.8</v>
      </c>
      <c r="E83" s="22" t="n">
        <v>16</v>
      </c>
      <c r="F83" s="22" t="n">
        <f aca="false">COUNTIF($E$33:$E$72,"C1")</f>
        <v>5</v>
      </c>
      <c r="G83" s="22" t="n">
        <f aca="false">E83-F83</f>
        <v>11</v>
      </c>
      <c r="H83" s="24" t="n">
        <f aca="false">G83*D83</f>
        <v>19.8</v>
      </c>
      <c r="I83" s="24"/>
      <c r="J83" s="24"/>
    </row>
    <row r="84" customFormat="false" ht="15" hidden="false" customHeight="false" outlineLevel="0" collapsed="false">
      <c r="C84" s="19" t="s">
        <v>120</v>
      </c>
      <c r="D84" s="24" t="n">
        <v>0.75</v>
      </c>
      <c r="E84" s="22" t="n">
        <v>8</v>
      </c>
      <c r="F84" s="22" t="n">
        <f aca="false">COUNTIF($E$33:$E$72,"Silleta")</f>
        <v>8</v>
      </c>
      <c r="G84" s="22" t="n">
        <f aca="false">E84-F84</f>
        <v>0</v>
      </c>
      <c r="H84" s="24" t="n">
        <f aca="false">G84*D84</f>
        <v>0</v>
      </c>
      <c r="I84" s="24"/>
      <c r="J84" s="24"/>
    </row>
    <row r="85" customFormat="false" ht="15" hidden="false" customHeight="false" outlineLevel="0" collapsed="false">
      <c r="C85" s="25" t="s">
        <v>50</v>
      </c>
      <c r="D85" s="26"/>
      <c r="E85" s="27" t="n">
        <f aca="false">SUM(E78:E84)</f>
        <v>132</v>
      </c>
      <c r="F85" s="27" t="n">
        <f aca="false">SUM(F78:F84)</f>
        <v>40</v>
      </c>
      <c r="G85" s="27" t="n">
        <f aca="false">SUM(G78:G84)</f>
        <v>92</v>
      </c>
      <c r="H85" s="26" t="n">
        <f aca="false">SUM(H78:H84)</f>
        <v>191.6</v>
      </c>
      <c r="I85" s="26"/>
      <c r="J85" s="26"/>
    </row>
    <row r="88" customFormat="false" ht="15" hidden="false" customHeight="false" outlineLevel="0" collapsed="false">
      <c r="C88" s="16" t="s">
        <v>121</v>
      </c>
      <c r="D88" s="16"/>
      <c r="E88" s="16"/>
      <c r="F88" s="16"/>
      <c r="G88" s="16"/>
      <c r="H88" s="16"/>
      <c r="I88" s="16"/>
      <c r="J88" s="16"/>
    </row>
    <row r="89" customFormat="false" ht="28.35" hidden="false" customHeight="true" outlineLevel="0" collapsed="false">
      <c r="C89" s="17" t="s">
        <v>122</v>
      </c>
      <c r="D89" s="18" t="s">
        <v>123</v>
      </c>
      <c r="E89" s="18" t="s">
        <v>124</v>
      </c>
      <c r="F89" s="18" t="s">
        <v>125</v>
      </c>
      <c r="G89" s="18" t="s">
        <v>126</v>
      </c>
      <c r="H89" s="18" t="s">
        <v>127</v>
      </c>
      <c r="I89" s="18"/>
      <c r="J89" s="18"/>
    </row>
    <row r="90" customFormat="false" ht="15" hidden="false" customHeight="false" outlineLevel="0" collapsed="false">
      <c r="C90" s="19" t="s">
        <v>128</v>
      </c>
      <c r="D90" s="24" t="n">
        <f aca="false">2.5+1.75+1.75</f>
        <v>6</v>
      </c>
      <c r="E90" s="24" t="n">
        <f aca="false">6-D90</f>
        <v>0</v>
      </c>
      <c r="F90" s="20" t="s">
        <v>129</v>
      </c>
      <c r="G90" s="24" t="n">
        <f aca="false">E90*H90</f>
        <v>0</v>
      </c>
      <c r="H90" s="36" t="n">
        <v>11</v>
      </c>
      <c r="I90" s="36"/>
      <c r="J90" s="36"/>
    </row>
    <row r="91" customFormat="false" ht="15" hidden="false" customHeight="false" outlineLevel="0" collapsed="false">
      <c r="C91" s="19" t="s">
        <v>130</v>
      </c>
      <c r="D91" s="24" t="n">
        <f aca="false">2.1+2.1+1.8</f>
        <v>6</v>
      </c>
      <c r="E91" s="24" t="n">
        <f aca="false">6-D91</f>
        <v>0</v>
      </c>
      <c r="F91" s="20" t="s">
        <v>129</v>
      </c>
      <c r="G91" s="24" t="n">
        <f aca="false">E91*H91</f>
        <v>0</v>
      </c>
      <c r="H91" s="36" t="n">
        <v>6</v>
      </c>
      <c r="I91" s="36"/>
      <c r="J91" s="36"/>
    </row>
    <row r="92" customFormat="false" ht="15" hidden="false" customHeight="false" outlineLevel="0" collapsed="false">
      <c r="C92" s="19" t="s">
        <v>131</v>
      </c>
      <c r="D92" s="24" t="n">
        <f aca="false">2.6+2.6</f>
        <v>5.2</v>
      </c>
      <c r="E92" s="24" t="n">
        <f aca="false">6-D92</f>
        <v>0.8</v>
      </c>
      <c r="F92" s="20" t="s">
        <v>132</v>
      </c>
      <c r="G92" s="24" t="n">
        <f aca="false">E92*H92</f>
        <v>4</v>
      </c>
      <c r="H92" s="36" t="n">
        <v>5</v>
      </c>
      <c r="I92" s="36"/>
      <c r="J92" s="36"/>
    </row>
    <row r="93" customFormat="false" ht="15" hidden="false" customHeight="false" outlineLevel="0" collapsed="false">
      <c r="C93" s="19" t="s">
        <v>133</v>
      </c>
      <c r="D93" s="24" t="n">
        <f aca="false">2.2+1.75+1.75</f>
        <v>5.7</v>
      </c>
      <c r="E93" s="24" t="n">
        <f aca="false">6-D93</f>
        <v>0.3</v>
      </c>
      <c r="F93" s="20" t="s">
        <v>134</v>
      </c>
      <c r="G93" s="24" t="n">
        <f aca="false">E93*H93</f>
        <v>1.2</v>
      </c>
      <c r="H93" s="36" t="n">
        <v>4</v>
      </c>
      <c r="I93" s="36"/>
      <c r="J93" s="36"/>
    </row>
    <row r="94" customFormat="false" ht="28.35" hidden="false" customHeight="false" outlineLevel="0" collapsed="false">
      <c r="C94" s="19" t="s">
        <v>135</v>
      </c>
      <c r="D94" s="24" t="n">
        <f aca="false">2.6+2.2</f>
        <v>4.8</v>
      </c>
      <c r="E94" s="24" t="n">
        <f aca="false">6-D94</f>
        <v>1.2</v>
      </c>
      <c r="F94" s="20" t="s">
        <v>136</v>
      </c>
      <c r="G94" s="24" t="n">
        <f aca="false">E94*H94</f>
        <v>3.6</v>
      </c>
      <c r="H94" s="36" t="n">
        <v>3</v>
      </c>
      <c r="I94" s="36"/>
      <c r="J94" s="36"/>
    </row>
    <row r="95" customFormat="false" ht="15" hidden="false" customHeight="false" outlineLevel="0" collapsed="false">
      <c r="C95" s="19" t="s">
        <v>137</v>
      </c>
      <c r="D95" s="24" t="n">
        <f aca="false">2.2+1.8+1.8</f>
        <v>5.8</v>
      </c>
      <c r="E95" s="24" t="n">
        <f aca="false">6-D95</f>
        <v>0.2</v>
      </c>
      <c r="F95" s="20" t="s">
        <v>134</v>
      </c>
      <c r="G95" s="24" t="n">
        <f aca="false">E95*H95</f>
        <v>0.4</v>
      </c>
      <c r="H95" s="36" t="n">
        <v>2</v>
      </c>
      <c r="I95" s="36"/>
      <c r="J95" s="36"/>
    </row>
    <row r="96" customFormat="false" ht="28.35" hidden="false" customHeight="false" outlineLevel="0" collapsed="false">
      <c r="C96" s="19" t="s">
        <v>138</v>
      </c>
      <c r="D96" s="24" t="n">
        <f aca="false">2.6+1.75</f>
        <v>4.35</v>
      </c>
      <c r="E96" s="24" t="n">
        <f aca="false">6-D96</f>
        <v>1.65</v>
      </c>
      <c r="F96" s="20" t="s">
        <v>139</v>
      </c>
      <c r="G96" s="24" t="n">
        <f aca="false">E96*H96</f>
        <v>1.65</v>
      </c>
      <c r="H96" s="36" t="n">
        <v>1</v>
      </c>
      <c r="I96" s="36"/>
      <c r="J96" s="36"/>
    </row>
    <row r="97" customFormat="false" ht="15" hidden="false" customHeight="false" outlineLevel="0" collapsed="false">
      <c r="C97" s="19" t="s">
        <v>140</v>
      </c>
      <c r="D97" s="24" t="n">
        <f aca="false">2.6+2.1</f>
        <v>4.7</v>
      </c>
      <c r="E97" s="24" t="n">
        <f aca="false">6-D97</f>
        <v>1.3</v>
      </c>
      <c r="F97" s="20" t="s">
        <v>132</v>
      </c>
      <c r="G97" s="24" t="n">
        <f aca="false">E97*H97</f>
        <v>1.3</v>
      </c>
      <c r="H97" s="36" t="n">
        <v>1</v>
      </c>
      <c r="I97" s="36"/>
      <c r="J97" s="36"/>
    </row>
    <row r="98" customFormat="false" ht="15" hidden="false" customHeight="false" outlineLevel="0" collapsed="false">
      <c r="C98" s="19" t="s">
        <v>141</v>
      </c>
      <c r="D98" s="24" t="n">
        <f aca="false">2.2+1.8+1.75</f>
        <v>5.75</v>
      </c>
      <c r="E98" s="24" t="n">
        <f aca="false">6-D98</f>
        <v>0.25</v>
      </c>
      <c r="F98" s="20" t="s">
        <v>134</v>
      </c>
      <c r="G98" s="24" t="n">
        <f aca="false">E98*H98</f>
        <v>0.25</v>
      </c>
      <c r="H98" s="36" t="n">
        <v>1</v>
      </c>
      <c r="I98" s="36"/>
      <c r="J98" s="36"/>
    </row>
    <row r="99" customFormat="false" ht="15" hidden="false" customHeight="false" outlineLevel="0" collapsed="false">
      <c r="C99" s="25" t="s">
        <v>142</v>
      </c>
      <c r="D99" s="26"/>
      <c r="E99" s="26"/>
      <c r="F99" s="26"/>
      <c r="G99" s="26" t="n">
        <f aca="false">SUM(G90:G98)</f>
        <v>12.4</v>
      </c>
      <c r="H99" s="27" t="n">
        <f aca="false">SUM(H90:H98)</f>
        <v>34</v>
      </c>
      <c r="I99" s="27"/>
      <c r="J99" s="27"/>
    </row>
    <row r="102" customFormat="false" ht="15" hidden="false" customHeight="false" outlineLevel="0" collapsed="false">
      <c r="C102" s="16" t="s">
        <v>143</v>
      </c>
      <c r="D102" s="16"/>
      <c r="E102" s="16"/>
      <c r="F102" s="16"/>
      <c r="G102" s="16"/>
      <c r="H102" s="16"/>
      <c r="I102" s="16"/>
      <c r="J102" s="16"/>
    </row>
    <row r="103" customFormat="false" ht="28.35" hidden="false" customHeight="true" outlineLevel="0" collapsed="false">
      <c r="C103" s="17" t="s">
        <v>122</v>
      </c>
      <c r="D103" s="18" t="s">
        <v>123</v>
      </c>
      <c r="E103" s="18" t="s">
        <v>124</v>
      </c>
      <c r="F103" s="18" t="s">
        <v>125</v>
      </c>
      <c r="G103" s="18" t="s">
        <v>126</v>
      </c>
      <c r="H103" s="18" t="s">
        <v>127</v>
      </c>
      <c r="I103" s="18"/>
      <c r="J103" s="18"/>
    </row>
    <row r="104" customFormat="false" ht="15" hidden="false" customHeight="false" outlineLevel="0" collapsed="false">
      <c r="C104" s="19" t="s">
        <v>144</v>
      </c>
      <c r="D104" s="24" t="n">
        <f aca="false">1.5+1.5+1.5+1.5</f>
        <v>6</v>
      </c>
      <c r="E104" s="24" t="n">
        <f aca="false">6-D104</f>
        <v>0</v>
      </c>
      <c r="F104" s="20" t="s">
        <v>129</v>
      </c>
      <c r="G104" s="24" t="n">
        <f aca="false">E104*H104</f>
        <v>0</v>
      </c>
      <c r="H104" s="36" t="n">
        <v>20</v>
      </c>
      <c r="I104" s="36"/>
      <c r="J104" s="36"/>
    </row>
    <row r="105" customFormat="false" ht="15" hidden="false" customHeight="false" outlineLevel="0" collapsed="false">
      <c r="C105" s="25" t="s">
        <v>142</v>
      </c>
      <c r="D105" s="26"/>
      <c r="E105" s="26"/>
      <c r="F105" s="26"/>
      <c r="G105" s="26" t="n">
        <f aca="false">SUM(G104:G104)</f>
        <v>0</v>
      </c>
      <c r="H105" s="27" t="n">
        <f aca="false">SUM(H104:H104)</f>
        <v>20</v>
      </c>
      <c r="I105" s="27"/>
      <c r="J105" s="27"/>
    </row>
    <row r="108" customFormat="false" ht="15" hidden="false" customHeight="false" outlineLevel="0" collapsed="false">
      <c r="C108" s="16" t="s">
        <v>145</v>
      </c>
      <c r="D108" s="16"/>
      <c r="E108" s="16"/>
      <c r="F108" s="16"/>
      <c r="G108" s="16"/>
      <c r="H108" s="16"/>
      <c r="I108" s="16"/>
      <c r="J108" s="16"/>
    </row>
    <row r="109" customFormat="false" ht="15" hidden="false" customHeight="false" outlineLevel="0" collapsed="false">
      <c r="C109" s="19" t="s">
        <v>146</v>
      </c>
      <c r="D109" s="20"/>
      <c r="E109" s="20"/>
      <c r="F109" s="20"/>
      <c r="G109" s="20"/>
      <c r="H109" s="22" t="n">
        <f aca="false">H99</f>
        <v>34</v>
      </c>
      <c r="I109" s="22"/>
      <c r="J109" s="22"/>
    </row>
    <row r="110" customFormat="false" ht="15" hidden="false" customHeight="false" outlineLevel="0" collapsed="false">
      <c r="C110" s="19" t="s">
        <v>147</v>
      </c>
      <c r="D110" s="20"/>
      <c r="E110" s="20"/>
      <c r="F110" s="20"/>
      <c r="G110" s="20"/>
      <c r="H110" s="22" t="n">
        <f aca="false">H105</f>
        <v>20</v>
      </c>
      <c r="I110" s="22"/>
      <c r="J110" s="22"/>
    </row>
    <row r="111" customFormat="false" ht="15" hidden="false" customHeight="false" outlineLevel="0" collapsed="false">
      <c r="C111" s="19" t="s">
        <v>148</v>
      </c>
      <c r="D111" s="20"/>
      <c r="E111" s="20"/>
      <c r="F111" s="20"/>
      <c r="G111" s="20"/>
      <c r="H111" s="36" t="n">
        <v>1</v>
      </c>
      <c r="I111" s="36"/>
      <c r="J111" s="36"/>
    </row>
    <row r="112" customFormat="false" ht="15" hidden="false" customHeight="false" outlineLevel="0" collapsed="false">
      <c r="C112" s="29" t="s">
        <v>149</v>
      </c>
      <c r="D112" s="37"/>
      <c r="E112" s="37"/>
      <c r="F112" s="37"/>
      <c r="G112" s="37"/>
      <c r="H112" s="37" t="n">
        <f aca="false">SUM(H109:H111)</f>
        <v>55</v>
      </c>
      <c r="I112" s="37"/>
      <c r="J112" s="37"/>
    </row>
    <row r="115" customFormat="false" ht="15" hidden="false" customHeight="false" outlineLevel="0" collapsed="false">
      <c r="C115" s="16" t="s">
        <v>150</v>
      </c>
      <c r="D115" s="16"/>
      <c r="E115" s="16"/>
      <c r="F115" s="16"/>
      <c r="G115" s="16"/>
      <c r="H115" s="16"/>
      <c r="I115" s="16"/>
      <c r="J115" s="16"/>
    </row>
    <row r="116" customFormat="false" ht="28.35" hidden="false" customHeight="true" outlineLevel="0" collapsed="false">
      <c r="C116" s="17" t="s">
        <v>122</v>
      </c>
      <c r="D116" s="18" t="s">
        <v>123</v>
      </c>
      <c r="E116" s="18" t="s">
        <v>124</v>
      </c>
      <c r="F116" s="18" t="s">
        <v>125</v>
      </c>
      <c r="G116" s="18" t="s">
        <v>126</v>
      </c>
      <c r="H116" s="18" t="s">
        <v>127</v>
      </c>
      <c r="I116" s="18"/>
      <c r="J116" s="18"/>
    </row>
    <row r="117" customFormat="false" ht="15" hidden="false" customHeight="false" outlineLevel="0" collapsed="false">
      <c r="C117" s="19" t="s">
        <v>128</v>
      </c>
      <c r="D117" s="24" t="n">
        <f aca="false">2.5+1.75+1.75</f>
        <v>6</v>
      </c>
      <c r="E117" s="24" t="n">
        <f aca="false">6-D117</f>
        <v>0</v>
      </c>
      <c r="F117" s="20" t="s">
        <v>129</v>
      </c>
      <c r="G117" s="24" t="n">
        <f aca="false">E117*H117</f>
        <v>0</v>
      </c>
      <c r="H117" s="36" t="n">
        <v>14</v>
      </c>
      <c r="I117" s="36"/>
      <c r="J117" s="36"/>
    </row>
    <row r="118" customFormat="false" ht="15" hidden="false" customHeight="false" outlineLevel="0" collapsed="false">
      <c r="C118" s="19" t="s">
        <v>151</v>
      </c>
      <c r="D118" s="24" t="n">
        <f aca="false">2.2+1.8+1.8</f>
        <v>5.8</v>
      </c>
      <c r="E118" s="24" t="n">
        <f aca="false">6-D118</f>
        <v>0.2</v>
      </c>
      <c r="F118" s="20" t="s">
        <v>134</v>
      </c>
      <c r="G118" s="24" t="n">
        <f aca="false">E118*H118</f>
        <v>1.6</v>
      </c>
      <c r="H118" s="36" t="n">
        <v>8</v>
      </c>
      <c r="I118" s="36"/>
      <c r="J118" s="36"/>
    </row>
    <row r="119" customFormat="false" ht="15" hidden="false" customHeight="false" outlineLevel="0" collapsed="false">
      <c r="C119" s="19" t="s">
        <v>152</v>
      </c>
      <c r="D119" s="24" t="n">
        <f aca="false">2.1+2.1+1.75</f>
        <v>5.95</v>
      </c>
      <c r="E119" s="24" t="n">
        <f aca="false">6-D119</f>
        <v>0.0499999999999998</v>
      </c>
      <c r="F119" s="20" t="s">
        <v>134</v>
      </c>
      <c r="G119" s="24" t="n">
        <f aca="false">E119*H119</f>
        <v>0.349999999999999</v>
      </c>
      <c r="H119" s="36" t="n">
        <v>7</v>
      </c>
      <c r="I119" s="36"/>
      <c r="J119" s="36"/>
    </row>
    <row r="120" customFormat="false" ht="41.75" hidden="false" customHeight="false" outlineLevel="0" collapsed="false">
      <c r="C120" s="19" t="s">
        <v>153</v>
      </c>
      <c r="D120" s="24" t="n">
        <f aca="false">2.6+2.6</f>
        <v>5.2</v>
      </c>
      <c r="E120" s="24" t="n">
        <f aca="false">6-D120</f>
        <v>0.8</v>
      </c>
      <c r="F120" s="20" t="s">
        <v>154</v>
      </c>
      <c r="G120" s="24" t="n">
        <f aca="false">E120*H120</f>
        <v>8</v>
      </c>
      <c r="H120" s="36" t="n">
        <v>10</v>
      </c>
      <c r="I120" s="36"/>
      <c r="J120" s="36"/>
    </row>
    <row r="121" customFormat="false" ht="41.75" hidden="false" customHeight="false" outlineLevel="0" collapsed="false">
      <c r="C121" s="19" t="s">
        <v>155</v>
      </c>
      <c r="D121" s="24" t="n">
        <f aca="false">2.2+2.2</f>
        <v>4.4</v>
      </c>
      <c r="E121" s="24" t="n">
        <f aca="false">6-D121</f>
        <v>1.6</v>
      </c>
      <c r="F121" s="20" t="s">
        <v>156</v>
      </c>
      <c r="G121" s="24" t="n">
        <f aca="false">E121*H121</f>
        <v>12.8</v>
      </c>
      <c r="H121" s="36" t="n">
        <v>8</v>
      </c>
      <c r="I121" s="36"/>
      <c r="J121" s="36"/>
    </row>
    <row r="122" customFormat="false" ht="28.35" hidden="false" customHeight="false" outlineLevel="0" collapsed="false">
      <c r="C122" s="19" t="s">
        <v>157</v>
      </c>
      <c r="D122" s="24" t="n">
        <f aca="false">1.75</f>
        <v>1.75</v>
      </c>
      <c r="E122" s="24" t="n">
        <f aca="false">6-D122</f>
        <v>4.25</v>
      </c>
      <c r="F122" s="20" t="s">
        <v>158</v>
      </c>
      <c r="G122" s="24" t="n">
        <f aca="false">E122*H122</f>
        <v>4.25</v>
      </c>
      <c r="H122" s="36" t="n">
        <v>1</v>
      </c>
      <c r="I122" s="36"/>
      <c r="J122" s="36"/>
    </row>
    <row r="123" customFormat="false" ht="15" hidden="false" customHeight="false" outlineLevel="0" collapsed="false">
      <c r="C123" s="25" t="s">
        <v>142</v>
      </c>
      <c r="D123" s="26"/>
      <c r="E123" s="26"/>
      <c r="F123" s="26"/>
      <c r="G123" s="26" t="n">
        <f aca="false">SUM(G117:G122)</f>
        <v>27</v>
      </c>
      <c r="H123" s="27" t="n">
        <f aca="false">SUM(H117:H122)</f>
        <v>48</v>
      </c>
      <c r="I123" s="27"/>
      <c r="J123" s="27"/>
    </row>
    <row r="125" customFormat="false" ht="15" hidden="false" customHeight="false" outlineLevel="0" collapsed="false">
      <c r="C125" s="38" t="s">
        <v>159</v>
      </c>
    </row>
    <row r="126" customFormat="false" ht="15" hidden="false" customHeight="false" outlineLevel="0" collapsed="false">
      <c r="C126" s="38" t="s">
        <v>160</v>
      </c>
    </row>
    <row r="127" customFormat="false" ht="15" hidden="false" customHeight="false" outlineLevel="0" collapsed="false">
      <c r="C127" s="38" t="s">
        <v>161</v>
      </c>
    </row>
  </sheetData>
  <mergeCells count="103">
    <mergeCell ref="C5:J5"/>
    <mergeCell ref="H6:J6"/>
    <mergeCell ref="H7:J7"/>
    <mergeCell ref="H8:J8"/>
    <mergeCell ref="H9:J9"/>
    <mergeCell ref="H10:J10"/>
    <mergeCell ref="H11:J11"/>
    <mergeCell ref="H12:J12"/>
    <mergeCell ref="H13:J13"/>
    <mergeCell ref="H14:J14"/>
    <mergeCell ref="C17:J17"/>
    <mergeCell ref="H18:J18"/>
    <mergeCell ref="H19:J19"/>
    <mergeCell ref="H20:J20"/>
    <mergeCell ref="C23:J23"/>
    <mergeCell ref="H24:J24"/>
    <mergeCell ref="H25:J25"/>
    <mergeCell ref="H26:J26"/>
    <mergeCell ref="H27:J27"/>
    <mergeCell ref="H28:J28"/>
    <mergeCell ref="C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H50:J50"/>
    <mergeCell ref="H51:J51"/>
    <mergeCell ref="H52:J52"/>
    <mergeCell ref="H53:J53"/>
    <mergeCell ref="H54:J54"/>
    <mergeCell ref="H55:J55"/>
    <mergeCell ref="H56:J56"/>
    <mergeCell ref="H57:J57"/>
    <mergeCell ref="H58:J58"/>
    <mergeCell ref="H59:J59"/>
    <mergeCell ref="H60:J60"/>
    <mergeCell ref="H61:J61"/>
    <mergeCell ref="H62:J62"/>
    <mergeCell ref="H63:J63"/>
    <mergeCell ref="H64:J64"/>
    <mergeCell ref="H65:J65"/>
    <mergeCell ref="H66:J66"/>
    <mergeCell ref="H67:J67"/>
    <mergeCell ref="H68:J68"/>
    <mergeCell ref="H69:J69"/>
    <mergeCell ref="H70:J70"/>
    <mergeCell ref="H71:J71"/>
    <mergeCell ref="H72:J72"/>
    <mergeCell ref="H73:J73"/>
    <mergeCell ref="C76:J76"/>
    <mergeCell ref="H77:J77"/>
    <mergeCell ref="H78:J78"/>
    <mergeCell ref="H79:J79"/>
    <mergeCell ref="H80:J80"/>
    <mergeCell ref="H81:J81"/>
    <mergeCell ref="H82:J82"/>
    <mergeCell ref="H83:J83"/>
    <mergeCell ref="H84:J84"/>
    <mergeCell ref="H85:J85"/>
    <mergeCell ref="C88:J88"/>
    <mergeCell ref="H89:J89"/>
    <mergeCell ref="H90:J90"/>
    <mergeCell ref="H91:J91"/>
    <mergeCell ref="H92:J92"/>
    <mergeCell ref="H93:J93"/>
    <mergeCell ref="H94:J94"/>
    <mergeCell ref="H95:J95"/>
    <mergeCell ref="H96:J96"/>
    <mergeCell ref="H97:J97"/>
    <mergeCell ref="H98:J98"/>
    <mergeCell ref="H99:J99"/>
    <mergeCell ref="C102:J102"/>
    <mergeCell ref="H103:J103"/>
    <mergeCell ref="H104:J104"/>
    <mergeCell ref="H105:J105"/>
    <mergeCell ref="C108:J108"/>
    <mergeCell ref="H109:J109"/>
    <mergeCell ref="H110:J110"/>
    <mergeCell ref="H111:J111"/>
    <mergeCell ref="H112:J112"/>
    <mergeCell ref="C115:J115"/>
    <mergeCell ref="H116:J116"/>
    <mergeCell ref="H117:J117"/>
    <mergeCell ref="H118:J118"/>
    <mergeCell ref="H119:J119"/>
    <mergeCell ref="H120:J120"/>
    <mergeCell ref="H121:J121"/>
    <mergeCell ref="H122:J122"/>
    <mergeCell ref="H123:J1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14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162</v>
      </c>
    </row>
    <row r="2" customFormat="false" ht="15" hidden="false" customHeight="false" outlineLevel="0" collapsed="false">
      <c r="A2" s="2" t="s">
        <v>163</v>
      </c>
    </row>
    <row r="4" customFormat="false" ht="35.05" hidden="false" customHeight="false" outlineLevel="0" collapsed="false">
      <c r="A4" s="3" t="s">
        <v>164</v>
      </c>
      <c r="B4" s="3" t="s">
        <v>165</v>
      </c>
      <c r="C4" s="3" t="s">
        <v>166</v>
      </c>
      <c r="D4" s="3" t="s">
        <v>167</v>
      </c>
      <c r="E4" s="3" t="s">
        <v>168</v>
      </c>
      <c r="F4" s="3" t="s">
        <v>169</v>
      </c>
      <c r="G4" s="3" t="s">
        <v>170</v>
      </c>
      <c r="H4" s="3" t="s">
        <v>171</v>
      </c>
      <c r="I4" s="3" t="s">
        <v>172</v>
      </c>
      <c r="J4" s="3" t="s">
        <v>173</v>
      </c>
    </row>
    <row r="5" customFormat="false" ht="23.85" hidden="false" customHeight="false" outlineLevel="0" collapsed="false">
      <c r="A5" s="4" t="s">
        <v>174</v>
      </c>
      <c r="B5" s="39" t="n">
        <v>1</v>
      </c>
      <c r="C5" s="40" t="n">
        <v>2.2</v>
      </c>
      <c r="D5" s="40" t="n">
        <v>1.8</v>
      </c>
      <c r="E5" s="40" t="n">
        <v>0.2</v>
      </c>
      <c r="F5" s="41" t="n">
        <f aca="false">C5*D5*E5</f>
        <v>0.792</v>
      </c>
      <c r="G5" s="42" t="n">
        <f aca="false">4*0.25*0.25*E5</f>
        <v>0.05</v>
      </c>
      <c r="H5" s="10" t="n">
        <f aca="false">B5*F5-G5</f>
        <v>0.742</v>
      </c>
      <c r="I5" s="41" t="n">
        <f aca="false">H5*(1+Parámetros!$B$6)</f>
        <v>0.7791</v>
      </c>
      <c r="J5" s="4" t="s">
        <v>175</v>
      </c>
    </row>
    <row r="6" customFormat="false" ht="15" hidden="false" customHeight="false" outlineLevel="0" collapsed="false">
      <c r="A6" s="4" t="s">
        <v>176</v>
      </c>
      <c r="B6" s="39" t="n">
        <v>2</v>
      </c>
      <c r="C6" s="40" t="n">
        <v>1.3</v>
      </c>
      <c r="D6" s="40" t="n">
        <v>0.15</v>
      </c>
      <c r="E6" s="40" t="n">
        <v>1.2</v>
      </c>
      <c r="F6" s="41" t="n">
        <f aca="false">C6*D6*E6</f>
        <v>0.234</v>
      </c>
      <c r="G6" s="42" t="n">
        <v>0</v>
      </c>
      <c r="H6" s="10" t="n">
        <f aca="false">B6*F6-G6</f>
        <v>0.468</v>
      </c>
      <c r="I6" s="41" t="n">
        <f aca="false">H6*(1+Parámetros!$B$6)</f>
        <v>0.4914</v>
      </c>
      <c r="J6" s="4" t="s">
        <v>177</v>
      </c>
    </row>
    <row r="7" customFormat="false" ht="15" hidden="false" customHeight="false" outlineLevel="0" collapsed="false">
      <c r="A7" s="4" t="s">
        <v>178</v>
      </c>
      <c r="B7" s="39" t="n">
        <v>2</v>
      </c>
      <c r="C7" s="40" t="n">
        <v>1.7</v>
      </c>
      <c r="D7" s="40" t="n">
        <v>0.15</v>
      </c>
      <c r="E7" s="40" t="n">
        <v>1.2</v>
      </c>
      <c r="F7" s="41" t="n">
        <f aca="false">C7*D7*E7</f>
        <v>0.306</v>
      </c>
      <c r="G7" s="42" t="n">
        <v>0</v>
      </c>
      <c r="H7" s="10" t="n">
        <f aca="false">B7*F7-G7</f>
        <v>0.612</v>
      </c>
      <c r="I7" s="41" t="n">
        <f aca="false">H7*(1+Parámetros!$B$6)</f>
        <v>0.6426</v>
      </c>
      <c r="J7" s="4" t="s">
        <v>177</v>
      </c>
    </row>
    <row r="8" customFormat="false" ht="15" hidden="false" customHeight="false" outlineLevel="0" collapsed="false">
      <c r="A8" s="4" t="s">
        <v>179</v>
      </c>
      <c r="B8" s="39" t="n">
        <v>4</v>
      </c>
      <c r="C8" s="40" t="n">
        <v>0.4</v>
      </c>
      <c r="D8" s="40" t="n">
        <v>0.4</v>
      </c>
      <c r="E8" s="40" t="n">
        <v>1.4</v>
      </c>
      <c r="F8" s="41" t="n">
        <f aca="false">C8*D8*E8</f>
        <v>0.224</v>
      </c>
      <c r="G8" s="42" t="n">
        <v>0</v>
      </c>
      <c r="H8" s="10" t="n">
        <f aca="false">B8*F8-G8</f>
        <v>0.896</v>
      </c>
      <c r="I8" s="41" t="n">
        <f aca="false">H8*(1+Parámetros!$B$6)</f>
        <v>0.9408</v>
      </c>
      <c r="J8" s="4" t="s">
        <v>180</v>
      </c>
    </row>
    <row r="9" customFormat="false" ht="15" hidden="false" customHeight="false" outlineLevel="0" collapsed="false">
      <c r="A9" s="43" t="s">
        <v>181</v>
      </c>
      <c r="B9" s="44"/>
      <c r="C9" s="44"/>
      <c r="D9" s="44"/>
      <c r="E9" s="44"/>
      <c r="F9" s="44"/>
      <c r="G9" s="44"/>
      <c r="H9" s="45" t="n">
        <f aca="false">SUM(H5:H8)</f>
        <v>2.718</v>
      </c>
      <c r="I9" s="45" t="n">
        <f aca="false">SUM(I5:I8)</f>
        <v>2.8539</v>
      </c>
      <c r="J9" s="44" t="s">
        <v>182</v>
      </c>
    </row>
    <row r="11" customFormat="false" ht="23.85" hidden="false" customHeight="false" outlineLevel="0" collapsed="false">
      <c r="A11" s="4" t="s">
        <v>183</v>
      </c>
      <c r="B11" s="39" t="n">
        <v>1</v>
      </c>
      <c r="C11" s="40" t="n">
        <v>2.4</v>
      </c>
      <c r="D11" s="40" t="n">
        <v>2</v>
      </c>
      <c r="E11" s="40" t="n">
        <v>0.05</v>
      </c>
      <c r="F11" s="41" t="n">
        <f aca="false">C11*D11*E11</f>
        <v>0.24</v>
      </c>
      <c r="G11" s="42" t="n">
        <v>0</v>
      </c>
      <c r="H11" s="10" t="n">
        <f aca="false">B11*F11</f>
        <v>0.24</v>
      </c>
      <c r="I11" s="41" t="n">
        <f aca="false">H11*(1+Parámetros!$B$6)</f>
        <v>0.252</v>
      </c>
      <c r="J11" s="4" t="s">
        <v>184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2026-10-09T13:13:01Z</dcterms:created>
  <dc:creator>openpyxl</dc:creator>
  <dc:description/>
  <dc:language>en-US</dc:language>
  <cp:lastModifiedBy/>
  <dcterms:modified xsi:type="dcterms:W3CDTF">2026-10-09T13:13:01Z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