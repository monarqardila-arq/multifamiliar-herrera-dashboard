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rámetros" sheetId="2" state="visible" r:id="rId4"/>
    <sheet name="Cartilla acero" sheetId="3" state="visible" r:id="rId5"/>
    <sheet name="Concreto por elem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<sst xmlns="http://schemas.openxmlformats.org/spreadsheetml/2006/main" count="114" uniqueCount="95">
  <si>
    <t xml:space="preserve">FOSO DE ASCENSOR — RESUMEN DE ACERO Y CONCRETO</t>
  </si>
  <si>
    <t xml:space="preserve">Multifamiliar Herrera · Plano EST-02 v.01 (19/06/2026). Valores enlazados a las otras hojas.</t>
  </si>
  <si>
    <t xml:space="preserve">Concepto</t>
  </si>
  <si>
    <t xml:space="preserve">Neto</t>
  </si>
  <si>
    <t xml:space="preserve">Con desperdicio</t>
  </si>
  <si>
    <t xml:space="preserve">Und</t>
  </si>
  <si>
    <t xml:space="preserve">Acero #4 (1/2")</t>
  </si>
  <si>
    <t xml:space="preserve">ml</t>
  </si>
  <si>
    <t xml:space="preserve">Acero #3 (3/8")</t>
  </si>
  <si>
    <t xml:space="preserve">Acero total</t>
  </si>
  <si>
    <t xml:space="preserve">Concreto estructural 21 MPa</t>
  </si>
  <si>
    <t xml:space="preserve">m³</t>
  </si>
  <si>
    <t xml:space="preserve">PARÁMETROS</t>
  </si>
  <si>
    <t xml:space="preserve">Celdas en azul sobre amarillo: editables. Todas las tablas se recalculan con ellas.</t>
  </si>
  <si>
    <t xml:space="preserve">Parámetro</t>
  </si>
  <si>
    <t xml:space="preserve">Valor</t>
  </si>
  <si>
    <t xml:space="preserve">Fuente</t>
  </si>
  <si>
    <t xml:space="preserve">Desperdicio acero</t>
  </si>
  <si>
    <t xml:space="preserve">Criterio de obra</t>
  </si>
  <si>
    <t xml:space="preserve">Desperdicio concreto</t>
  </si>
  <si>
    <t xml:space="preserve">f'c concreto estructural</t>
  </si>
  <si>
    <t xml:space="preserve">MPa</t>
  </si>
  <si>
    <t xml:space="preserve">Supuesto; EST-02 no lo indica</t>
  </si>
  <si>
    <t xml:space="preserve">fy acero de refuerzo</t>
  </si>
  <si>
    <t xml:space="preserve">CARTILLA DE DESPIECE — ACERO DE REFUERZO FOSO DE ASCENSOR (EST-02)</t>
  </si>
  <si>
    <t xml:space="preserve">Valores en azul tomados del plano EST-02 (confirmados en obra). N° de barras = REDONDEAR.MAS(distribución ÷ separación) + 1.</t>
  </si>
  <si>
    <t xml:space="preserve">Marca</t>
  </si>
  <si>
    <t xml:space="preserve">Elemento</t>
  </si>
  <si>
    <t xml:space="preserve">Forma</t>
  </si>
  <si>
    <t xml:space="preserve">Tramos (m)</t>
  </si>
  <si>
    <t xml:space="preserve">Barra</t>
  </si>
  <si>
    <t xml:space="preserve">Separación (m)</t>
  </si>
  <si>
    <t xml:space="preserve">Long. a distribuir (m)</t>
  </si>
  <si>
    <t xml:space="preserve">N° por elemento</t>
  </si>
  <si>
    <t xml:space="preserve">Elementos</t>
  </si>
  <si>
    <t xml:space="preserve">Cant. total</t>
  </si>
  <si>
    <t xml:space="preserve">L corte (m)</t>
  </si>
  <si>
    <t xml:space="preserve">Long. total (ml)</t>
  </si>
  <si>
    <t xml:space="preserve">L1</t>
  </si>
  <si>
    <t xml:space="preserve">Losa de fondo — sentido X (2 capas)</t>
  </si>
  <si>
    <t xml:space="preserve">Recta con gancho a 180° en ambos extremos</t>
  </si>
  <si>
    <t xml:space="preserve">1.70 + 2 × 0.20</t>
  </si>
  <si>
    <t xml:space="preserve">#4</t>
  </si>
  <si>
    <t xml:space="preserve">L2</t>
  </si>
  <si>
    <t xml:space="preserve">Losa de fondo — sentido Y (2 capas)</t>
  </si>
  <si>
    <t xml:space="preserve">2.10 + 2 × 0.20</t>
  </si>
  <si>
    <t xml:space="preserve">M1</t>
  </si>
  <si>
    <t xml:space="preserve">Muros X — horizontales (2 muros)</t>
  </si>
  <si>
    <t xml:space="preserve">En U, patas a 90°</t>
  </si>
  <si>
    <t xml:space="preserve">1.68 + 2 × 0.20</t>
  </si>
  <si>
    <t xml:space="preserve">M2</t>
  </si>
  <si>
    <t xml:space="preserve">Muros Y — horizontales (2 muros)</t>
  </si>
  <si>
    <t xml:space="preserve">2.08 + 2 × 0.20</t>
  </si>
  <si>
    <t xml:space="preserve">M3</t>
  </si>
  <si>
    <t xml:space="preserve">Muros X — verticales (2 muros)</t>
  </si>
  <si>
    <t xml:space="preserve">Gancho sup. 180°, pata inf. 90°</t>
  </si>
  <si>
    <t xml:space="preserve">1.28 + 0.20 + 0.20</t>
  </si>
  <si>
    <t xml:space="preserve">M4</t>
  </si>
  <si>
    <t xml:space="preserve">Muros Y — verticales (2 muros)</t>
  </si>
  <si>
    <t xml:space="preserve">C1</t>
  </si>
  <si>
    <t xml:space="preserve">Columnas 40×40 — longitudinal (4 col.)</t>
  </si>
  <si>
    <t xml:space="preserve">1.32 + 0.20 + 0.20</t>
  </si>
  <si>
    <t xml:space="preserve">E1</t>
  </si>
  <si>
    <t xml:space="preserve">Columnas 40×40 — flejes (4 col.)</t>
  </si>
  <si>
    <t xml:space="preserve">Fleje cerrado 0.32 × 0.32, ganchos 135°</t>
  </si>
  <si>
    <t xml:space="preserve">4 × 0.32 + ganchos</t>
  </si>
  <si>
    <t xml:space="preserve">#3</t>
  </si>
  <si>
    <t xml:space="preserve">Barra #4 (1/2") — neto</t>
  </si>
  <si>
    <t xml:space="preserve">Barra #4 (1/2") — con desperdicio</t>
  </si>
  <si>
    <t xml:space="preserve">Barra #3 (3/8") — neto</t>
  </si>
  <si>
    <t xml:space="preserve">Barra #3 (3/8") — con desperdicio</t>
  </si>
  <si>
    <t xml:space="preserve">Total #4 + #3 — neto</t>
  </si>
  <si>
    <t xml:space="preserve">Total #4 + #3 — con desperdicio</t>
  </si>
  <si>
    <t xml:space="preserve">CÁLCULO DE CONCRETO POR ELEMENTOS — FOSO DE ASCENSOR (EST-02)</t>
  </si>
  <si>
    <t xml:space="preserve">Foso: luz libre 1.50 × 1.90 m · profundidad útil 1.20 m (N-0.10 a N-1.30) · exterior de muros 1.80 × 2.20 m · con columnas 2.10 × 2.50 m · altura total 1.40 m (N-0.10 a N-1.50).</t>
  </si>
  <si>
    <t xml:space="preserve">Cant.</t>
  </si>
  <si>
    <t xml:space="preserve">Largo (m)</t>
  </si>
  <si>
    <t xml:space="preserve">Ancho (m)</t>
  </si>
  <si>
    <t xml:space="preserve">Alto / espesor (m)</t>
  </si>
  <si>
    <t xml:space="preserve">Vol. unitario (m³)</t>
  </si>
  <si>
    <t xml:space="preserve">Descuento (m³)</t>
  </si>
  <si>
    <t xml:space="preserve">Vol. neto (m³)</t>
  </si>
  <si>
    <t xml:space="preserve">Con desperdicio (m³)</t>
  </si>
  <si>
    <t xml:space="preserve">Nota</t>
  </si>
  <si>
    <t xml:space="preserve">Losa de fondo e = 0.20</t>
  </si>
  <si>
    <t xml:space="preserve">Exterior de muros. Se descuentan las 4 esquinas que ocupan las columnas (0.25 × 0.25 × 0.20 c/u)</t>
  </si>
  <si>
    <t xml:space="preserve">Muros sentido X e = 0.15</t>
  </si>
  <si>
    <t xml:space="preserve">Entre caras de columnas, sobre la losa (N-1.30 a N-0.10)</t>
  </si>
  <si>
    <t xml:space="preserve">Muros sentido Y e = 0.15</t>
  </si>
  <si>
    <t xml:space="preserve">Columnas 40 × 40</t>
  </si>
  <si>
    <t xml:space="preserve">Altura completa N-1.50 a N-0.10</t>
  </si>
  <si>
    <t xml:space="preserve">TOTAL CONCRETO ESTRUCTURAL</t>
  </si>
  <si>
    <t xml:space="preserve">Concreto f'c según Parámetros</t>
  </si>
  <si>
    <t xml:space="preserve">Solado de limpieza e = 0.05 (14 MPa, recomendado)</t>
  </si>
  <si>
    <t xml:space="preserve">No dibujado en EST-02. Losa + 0.10 m por lado. Va aparte del concreto estructural.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</si>
</sst>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0"/>
    <numFmt numFmtId="167" formatCode="0%"/>
    <numFmt numFmtId="168" formatCode="0.00"/>
    <numFmt numFmtId="169" formatCode="0"/>
    <numFmt numFmtId="170" formatCode="0.000;\-0.00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'Cartilla acero'!L13</f>
        <v>261</v>
      </c>
      <c r="C5" s="6" t="n">
        <f aca="false">B5*(1+Parámetros!$B$5)</f>
        <v>274.05</v>
      </c>
      <c r="D5" s="7" t="s">
        <v>7</v>
      </c>
    </row>
    <row r="6" customFormat="false" ht="15" hidden="false" customHeight="false" outlineLevel="0" collapsed="false">
      <c r="A6" s="4" t="s">
        <v>8</v>
      </c>
      <c r="B6" s="5" t="n">
        <f aca="false">'Cartilla acero'!L15</f>
        <v>120</v>
      </c>
      <c r="C6" s="6" t="n">
        <f aca="false">B6*(1+Parámetros!$B$5)</f>
        <v>126</v>
      </c>
      <c r="D6" s="7" t="s">
        <v>7</v>
      </c>
    </row>
    <row r="7" customFormat="false" ht="15" hidden="false" customHeight="false" outlineLevel="0" collapsed="false">
      <c r="A7" s="8" t="s">
        <v>9</v>
      </c>
      <c r="B7" s="5" t="n">
        <f aca="false">B5+B6</f>
        <v>381</v>
      </c>
      <c r="C7" s="6" t="n">
        <f aca="false">C5+C6</f>
        <v>400.05</v>
      </c>
      <c r="D7" s="7" t="s">
        <v>7</v>
      </c>
    </row>
    <row r="8" customFormat="false" ht="15" hidden="false" customHeight="false" outlineLevel="0" collapsed="false">
      <c r="A8" s="4" t="s">
        <v>10</v>
      </c>
      <c r="B8" s="9" t="n">
        <f aca="false">'Concreto por elementos'!H9</f>
        <v>2.718</v>
      </c>
      <c r="C8" s="10" t="n">
        <f aca="false">'Concreto por elementos'!I9</f>
        <v>2.8539</v>
      </c>
      <c r="D8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s">
        <v>5</v>
      </c>
      <c r="D4" s="3" t="s">
        <v>16</v>
      </c>
    </row>
    <row r="5" customFormat="false" ht="15" hidden="false" customHeight="false" outlineLevel="0" collapsed="false">
      <c r="A5" s="4" t="s">
        <v>17</v>
      </c>
      <c r="B5" s="11" t="n">
        <v>0.05</v>
      </c>
      <c r="C5" s="4"/>
      <c r="D5" s="4" t="s">
        <v>18</v>
      </c>
    </row>
    <row r="6" customFormat="false" ht="15" hidden="false" customHeight="false" outlineLevel="0" collapsed="false">
      <c r="A6" s="4" t="s">
        <v>19</v>
      </c>
      <c r="B6" s="11" t="n">
        <v>0.05</v>
      </c>
      <c r="C6" s="4"/>
      <c r="D6" s="4" t="s">
        <v>18</v>
      </c>
    </row>
    <row r="7" customFormat="false" ht="15" hidden="false" customHeight="false" outlineLevel="0" collapsed="false">
      <c r="A7" s="4" t="s">
        <v>20</v>
      </c>
      <c r="B7" s="12" t="n">
        <v>21</v>
      </c>
      <c r="C7" s="4" t="s">
        <v>21</v>
      </c>
      <c r="D7" s="4" t="s">
        <v>22</v>
      </c>
    </row>
    <row r="8" customFormat="false" ht="15" hidden="false" customHeight="false" outlineLevel="0" collapsed="false">
      <c r="A8" s="4" t="s">
        <v>23</v>
      </c>
      <c r="B8" s="12" t="n">
        <v>420</v>
      </c>
      <c r="C8" s="4" t="s">
        <v>21</v>
      </c>
      <c r="D8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3.8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 customFormat="false" ht="23.85" hidden="false" customHeight="false" outlineLevel="0" collapsed="false">
      <c r="A5" s="13" t="s">
        <v>38</v>
      </c>
      <c r="B5" s="4" t="s">
        <v>39</v>
      </c>
      <c r="C5" s="4" t="s">
        <v>40</v>
      </c>
      <c r="D5" s="4" t="s">
        <v>41</v>
      </c>
      <c r="E5" s="7" t="s">
        <v>42</v>
      </c>
      <c r="F5" s="14" t="n">
        <v>0.2</v>
      </c>
      <c r="G5" s="15" t="n">
        <v>2.08</v>
      </c>
      <c r="H5" s="16" t="n">
        <f aca="false">ROUNDUP(ROUND(G5/F5,6),0)+1</f>
        <v>12</v>
      </c>
      <c r="I5" s="17" t="n">
        <v>2</v>
      </c>
      <c r="J5" s="18" t="n">
        <f aca="false">H5*I5</f>
        <v>24</v>
      </c>
      <c r="K5" s="15" t="n">
        <v>2.2</v>
      </c>
      <c r="L5" s="6" t="n">
        <f aca="false">J5*K5</f>
        <v>52.8</v>
      </c>
    </row>
    <row r="6" customFormat="false" ht="23.85" hidden="false" customHeight="false" outlineLevel="0" collapsed="false">
      <c r="A6" s="13" t="s">
        <v>43</v>
      </c>
      <c r="B6" s="4" t="s">
        <v>44</v>
      </c>
      <c r="C6" s="4" t="s">
        <v>40</v>
      </c>
      <c r="D6" s="4" t="s">
        <v>45</v>
      </c>
      <c r="E6" s="7" t="s">
        <v>42</v>
      </c>
      <c r="F6" s="14" t="n">
        <v>0.2</v>
      </c>
      <c r="G6" s="15" t="n">
        <v>1.68</v>
      </c>
      <c r="H6" s="16" t="n">
        <f aca="false">ROUNDUP(ROUND(G6/F6,6),0)+1</f>
        <v>10</v>
      </c>
      <c r="I6" s="17" t="n">
        <v>2</v>
      </c>
      <c r="J6" s="18" t="n">
        <f aca="false">H6*I6</f>
        <v>20</v>
      </c>
      <c r="K6" s="15" t="n">
        <v>2.6</v>
      </c>
      <c r="L6" s="6" t="n">
        <f aca="false">J6*K6</f>
        <v>52</v>
      </c>
    </row>
    <row r="7" customFormat="false" ht="15" hidden="false" customHeight="false" outlineLevel="0" collapsed="false">
      <c r="A7" s="13" t="s">
        <v>46</v>
      </c>
      <c r="B7" s="4" t="s">
        <v>47</v>
      </c>
      <c r="C7" s="4" t="s">
        <v>48</v>
      </c>
      <c r="D7" s="4" t="s">
        <v>49</v>
      </c>
      <c r="E7" s="7" t="s">
        <v>42</v>
      </c>
      <c r="F7" s="14" t="n">
        <v>0.2</v>
      </c>
      <c r="G7" s="15" t="n">
        <v>1.2</v>
      </c>
      <c r="H7" s="16" t="n">
        <f aca="false">ROUNDUP(ROUND(G7/F7,6),0)+1</f>
        <v>7</v>
      </c>
      <c r="I7" s="17" t="n">
        <v>2</v>
      </c>
      <c r="J7" s="18" t="n">
        <f aca="false">H7*I7</f>
        <v>14</v>
      </c>
      <c r="K7" s="15" t="n">
        <v>2.1</v>
      </c>
      <c r="L7" s="6" t="n">
        <f aca="false">J7*K7</f>
        <v>29.4</v>
      </c>
    </row>
    <row r="8" customFormat="false" ht="15" hidden="false" customHeight="false" outlineLevel="0" collapsed="false">
      <c r="A8" s="13" t="s">
        <v>50</v>
      </c>
      <c r="B8" s="4" t="s">
        <v>51</v>
      </c>
      <c r="C8" s="4" t="s">
        <v>48</v>
      </c>
      <c r="D8" s="4" t="s">
        <v>52</v>
      </c>
      <c r="E8" s="7" t="s">
        <v>42</v>
      </c>
      <c r="F8" s="14" t="n">
        <v>0.2</v>
      </c>
      <c r="G8" s="15" t="n">
        <v>1.2</v>
      </c>
      <c r="H8" s="16" t="n">
        <f aca="false">ROUNDUP(ROUND(G8/F8,6),0)+1</f>
        <v>7</v>
      </c>
      <c r="I8" s="17" t="n">
        <v>2</v>
      </c>
      <c r="J8" s="18" t="n">
        <f aca="false">H8*I8</f>
        <v>14</v>
      </c>
      <c r="K8" s="15" t="n">
        <v>2.5</v>
      </c>
      <c r="L8" s="6" t="n">
        <f aca="false">J8*K8</f>
        <v>35</v>
      </c>
    </row>
    <row r="9" customFormat="false" ht="15" hidden="false" customHeight="false" outlineLevel="0" collapsed="false">
      <c r="A9" s="13" t="s">
        <v>53</v>
      </c>
      <c r="B9" s="4" t="s">
        <v>54</v>
      </c>
      <c r="C9" s="4" t="s">
        <v>55</v>
      </c>
      <c r="D9" s="4" t="s">
        <v>56</v>
      </c>
      <c r="E9" s="7" t="s">
        <v>42</v>
      </c>
      <c r="F9" s="14" t="n">
        <v>0.2</v>
      </c>
      <c r="G9" s="15" t="n">
        <v>1.3</v>
      </c>
      <c r="H9" s="16" t="n">
        <f aca="false">ROUNDUP(ROUND(G9/F9,6),0)+1</f>
        <v>8</v>
      </c>
      <c r="I9" s="17" t="n">
        <v>2</v>
      </c>
      <c r="J9" s="18" t="n">
        <f aca="false">H9*I9</f>
        <v>16</v>
      </c>
      <c r="K9" s="15" t="n">
        <v>1.75</v>
      </c>
      <c r="L9" s="6" t="n">
        <f aca="false">J9*K9</f>
        <v>28</v>
      </c>
    </row>
    <row r="10" customFormat="false" ht="15" hidden="false" customHeight="false" outlineLevel="0" collapsed="false">
      <c r="A10" s="13" t="s">
        <v>57</v>
      </c>
      <c r="B10" s="4" t="s">
        <v>58</v>
      </c>
      <c r="C10" s="4" t="s">
        <v>55</v>
      </c>
      <c r="D10" s="4" t="s">
        <v>56</v>
      </c>
      <c r="E10" s="7" t="s">
        <v>42</v>
      </c>
      <c r="F10" s="14" t="n">
        <v>0.2</v>
      </c>
      <c r="G10" s="15" t="n">
        <v>1.7</v>
      </c>
      <c r="H10" s="16" t="n">
        <f aca="false">ROUNDUP(ROUND(G10/F10,6),0)+1</f>
        <v>10</v>
      </c>
      <c r="I10" s="17" t="n">
        <v>2</v>
      </c>
      <c r="J10" s="18" t="n">
        <f aca="false">H10*I10</f>
        <v>20</v>
      </c>
      <c r="K10" s="15" t="n">
        <v>1.75</v>
      </c>
      <c r="L10" s="6" t="n">
        <f aca="false">J10*K10</f>
        <v>35</v>
      </c>
    </row>
    <row r="11" customFormat="false" ht="15" hidden="false" customHeight="false" outlineLevel="0" collapsed="false">
      <c r="A11" s="13" t="s">
        <v>59</v>
      </c>
      <c r="B11" s="4" t="s">
        <v>60</v>
      </c>
      <c r="C11" s="4" t="s">
        <v>55</v>
      </c>
      <c r="D11" s="4" t="s">
        <v>61</v>
      </c>
      <c r="E11" s="7" t="s">
        <v>42</v>
      </c>
      <c r="F11" s="14"/>
      <c r="G11" s="15"/>
      <c r="H11" s="17" t="n">
        <v>4</v>
      </c>
      <c r="I11" s="17" t="n">
        <v>4</v>
      </c>
      <c r="J11" s="18" t="n">
        <f aca="false">H11*I11</f>
        <v>16</v>
      </c>
      <c r="K11" s="15" t="n">
        <v>1.8</v>
      </c>
      <c r="L11" s="6" t="n">
        <f aca="false">J11*K11</f>
        <v>28.8</v>
      </c>
    </row>
    <row r="12" customFormat="false" ht="23.85" hidden="false" customHeight="false" outlineLevel="0" collapsed="false">
      <c r="A12" s="13" t="s">
        <v>62</v>
      </c>
      <c r="B12" s="4" t="s">
        <v>63</v>
      </c>
      <c r="C12" s="4" t="s">
        <v>64</v>
      </c>
      <c r="D12" s="4" t="s">
        <v>65</v>
      </c>
      <c r="E12" s="7" t="s">
        <v>66</v>
      </c>
      <c r="F12" s="14" t="n">
        <v>0.075</v>
      </c>
      <c r="G12" s="15" t="n">
        <v>1.4</v>
      </c>
      <c r="H12" s="16" t="n">
        <f aca="false">ROUNDUP(ROUND(G12/F12,6),0)+1</f>
        <v>20</v>
      </c>
      <c r="I12" s="17" t="n">
        <v>4</v>
      </c>
      <c r="J12" s="18" t="n">
        <f aca="false">H12*I12</f>
        <v>80</v>
      </c>
      <c r="K12" s="15" t="n">
        <v>1.5</v>
      </c>
      <c r="L12" s="6" t="n">
        <f aca="false">J12*K12</f>
        <v>120</v>
      </c>
    </row>
    <row r="13" customFormat="false" ht="15" hidden="false" customHeight="true" outlineLevel="0" collapsed="false">
      <c r="A13" s="19" t="s">
        <v>67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 t="n">
        <f aca="false">SUMIF(E5:E12,"#4",L5:L12)</f>
        <v>261</v>
      </c>
    </row>
    <row r="14" customFormat="false" ht="15" hidden="false" customHeight="true" outlineLevel="0" collapsed="false">
      <c r="A14" s="19" t="s">
        <v>68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 t="n">
        <f aca="false">L13*(1+Parámetros!$B$5)</f>
        <v>274.05</v>
      </c>
    </row>
    <row r="15" customFormat="false" ht="15" hidden="false" customHeight="true" outlineLevel="0" collapsed="false">
      <c r="A15" s="19" t="s">
        <v>69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 t="n">
        <f aca="false">SUMIF(E5:E12,"#3",L5:L12)</f>
        <v>120</v>
      </c>
    </row>
    <row r="16" customFormat="false" ht="15" hidden="false" customHeight="true" outlineLevel="0" collapsed="false">
      <c r="A16" s="19" t="s">
        <v>70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 t="n">
        <f aca="false">L15*(1+Parámetros!$B$5)</f>
        <v>126</v>
      </c>
    </row>
    <row r="17" customFormat="false" ht="15" hidden="false" customHeight="true" outlineLevel="0" collapsed="false">
      <c r="A17" s="19" t="s">
        <v>71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 t="n">
        <f aca="false">L13+L15</f>
        <v>381</v>
      </c>
    </row>
    <row r="18" customFormat="false" ht="15" hidden="false" customHeight="true" outlineLevel="0" collapsed="false">
      <c r="A18" s="19" t="s">
        <v>72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 t="n">
        <f aca="false">L14+L16</f>
        <v>400.05</v>
      </c>
    </row>
  </sheetData>
  <mergeCells count="6">
    <mergeCell ref="A13:K13"/>
    <mergeCell ref="A14:K14"/>
    <mergeCell ref="A15:K15"/>
    <mergeCell ref="A16:K16"/>
    <mergeCell ref="A17:K17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5.05" hidden="false" customHeight="false" outlineLevel="0" collapsed="false">
      <c r="A4" s="3" t="s">
        <v>27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83</v>
      </c>
    </row>
    <row r="5" customFormat="false" ht="23.85" hidden="false" customHeight="false" outlineLevel="0" collapsed="false">
      <c r="A5" s="4" t="s">
        <v>84</v>
      </c>
      <c r="B5" s="17" t="n">
        <v>1</v>
      </c>
      <c r="C5" s="15" t="n">
        <v>2.2</v>
      </c>
      <c r="D5" s="15" t="n">
        <v>1.8</v>
      </c>
      <c r="E5" s="15" t="n">
        <v>0.2</v>
      </c>
      <c r="F5" s="21" t="n">
        <f aca="false">C5*D5*E5</f>
        <v>0.792</v>
      </c>
      <c r="G5" s="22" t="n">
        <f aca="false">4*0.25*0.25*E5</f>
        <v>0.05</v>
      </c>
      <c r="H5" s="10" t="n">
        <f aca="false">B5*F5-G5</f>
        <v>0.742</v>
      </c>
      <c r="I5" s="21" t="n">
        <f aca="false">H5*(1+Parámetros!$B$6)</f>
        <v>0.7791</v>
      </c>
      <c r="J5" s="4" t="s">
        <v>85</v>
      </c>
    </row>
    <row r="6" customFormat="false" ht="15" hidden="false" customHeight="false" outlineLevel="0" collapsed="false">
      <c r="A6" s="4" t="s">
        <v>86</v>
      </c>
      <c r="B6" s="17" t="n">
        <v>2</v>
      </c>
      <c r="C6" s="15" t="n">
        <v>1.3</v>
      </c>
      <c r="D6" s="15" t="n">
        <v>0.15</v>
      </c>
      <c r="E6" s="15" t="n">
        <v>1.2</v>
      </c>
      <c r="F6" s="21" t="n">
        <f aca="false">C6*D6*E6</f>
        <v>0.234</v>
      </c>
      <c r="G6" s="22" t="n">
        <v>0</v>
      </c>
      <c r="H6" s="10" t="n">
        <f aca="false">B6*F6-G6</f>
        <v>0.468</v>
      </c>
      <c r="I6" s="21" t="n">
        <f aca="false">H6*(1+Parámetros!$B$6)</f>
        <v>0.4914</v>
      </c>
      <c r="J6" s="4" t="s">
        <v>87</v>
      </c>
    </row>
    <row r="7" customFormat="false" ht="15" hidden="false" customHeight="false" outlineLevel="0" collapsed="false">
      <c r="A7" s="4" t="s">
        <v>88</v>
      </c>
      <c r="B7" s="17" t="n">
        <v>2</v>
      </c>
      <c r="C7" s="15" t="n">
        <v>1.7</v>
      </c>
      <c r="D7" s="15" t="n">
        <v>0.15</v>
      </c>
      <c r="E7" s="15" t="n">
        <v>1.2</v>
      </c>
      <c r="F7" s="21" t="n">
        <f aca="false">C7*D7*E7</f>
        <v>0.306</v>
      </c>
      <c r="G7" s="22" t="n">
        <v>0</v>
      </c>
      <c r="H7" s="10" t="n">
        <f aca="false">B7*F7-G7</f>
        <v>0.612</v>
      </c>
      <c r="I7" s="21" t="n">
        <f aca="false">H7*(1+Parámetros!$B$6)</f>
        <v>0.6426</v>
      </c>
      <c r="J7" s="4" t="s">
        <v>87</v>
      </c>
    </row>
    <row r="8" customFormat="false" ht="15" hidden="false" customHeight="false" outlineLevel="0" collapsed="false">
      <c r="A8" s="4" t="s">
        <v>89</v>
      </c>
      <c r="B8" s="17" t="n">
        <v>4</v>
      </c>
      <c r="C8" s="15" t="n">
        <v>0.4</v>
      </c>
      <c r="D8" s="15" t="n">
        <v>0.4</v>
      </c>
      <c r="E8" s="15" t="n">
        <v>1.4</v>
      </c>
      <c r="F8" s="21" t="n">
        <f aca="false">C8*D8*E8</f>
        <v>0.224</v>
      </c>
      <c r="G8" s="22" t="n">
        <v>0</v>
      </c>
      <c r="H8" s="10" t="n">
        <f aca="false">B8*F8-G8</f>
        <v>0.896</v>
      </c>
      <c r="I8" s="21" t="n">
        <f aca="false">H8*(1+Parámetros!$B$6)</f>
        <v>0.9408</v>
      </c>
      <c r="J8" s="4" t="s">
        <v>90</v>
      </c>
    </row>
    <row r="9" customFormat="false" ht="15" hidden="false" customHeight="false" outlineLevel="0" collapsed="false">
      <c r="A9" s="19" t="s">
        <v>91</v>
      </c>
      <c r="B9" s="23"/>
      <c r="C9" s="23"/>
      <c r="D9" s="23"/>
      <c r="E9" s="23"/>
      <c r="F9" s="23"/>
      <c r="G9" s="23"/>
      <c r="H9" s="24" t="n">
        <f aca="false">SUM(H5:H8)</f>
        <v>2.718</v>
      </c>
      <c r="I9" s="24" t="n">
        <f aca="false">SUM(I5:I8)</f>
        <v>2.8539</v>
      </c>
      <c r="J9" s="23" t="s">
        <v>92</v>
      </c>
    </row>
    <row r="11" customFormat="false" ht="23.85" hidden="false" customHeight="false" outlineLevel="0" collapsed="false">
      <c r="A11" s="4" t="s">
        <v>93</v>
      </c>
      <c r="B11" s="17" t="n">
        <v>1</v>
      </c>
      <c r="C11" s="15" t="n">
        <v>2.4</v>
      </c>
      <c r="D11" s="15" t="n">
        <v>2</v>
      </c>
      <c r="E11" s="15" t="n">
        <v>0.05</v>
      </c>
      <c r="F11" s="21" t="n">
        <f aca="false">C11*D11*E11</f>
        <v>0.24</v>
      </c>
      <c r="G11" s="22" t="n">
        <v>0</v>
      </c>
      <c r="H11" s="10" t="n">
        <f aca="false">B11*F11</f>
        <v>0.24</v>
      </c>
      <c r="I11" s="21" t="n">
        <f aca="false">H11*(1+Parámetros!$B$6)</f>
        <v>0.252</v>
      </c>
      <c r="J11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2026-10-07T20:42:55Z</dcterms:created>
  <dc:creator>openpyxl</dc:creator>
  <dc:description/>
  <dc:language>en-US</dc:language>
  <cp:lastModifiedBy/>
  <dcterms:modified xsi:type="dcterms:W3CDTF">2026-10-07T20:42:55Z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