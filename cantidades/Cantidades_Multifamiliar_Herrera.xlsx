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<sst xmlns="http://schemas.openxmlformats.org/spreadsheetml/2006/main" count="727" uniqueCount="488">
  <si>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</si>
  <si>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</si>
  <si>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</si>
  <si>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</si>
  <si>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</si>
  <si>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</si>
  <si>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</si>
  <si>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</si>
  <si>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</si>
  <si>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</si>
  <si>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</si>
  <si>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</si>
  <si>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</si>
  <si>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</si>
  <si>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</si>
  <si>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</si>
  <si>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</si>
  <si>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</si>
  <si>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</si>
  <si>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</si>
  <si>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</si>
  <si>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</si>
  <si>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</si>
  <si>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</si>
  <si>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</si>
  <si>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kg</t>
  </si>
  <si>
    <t xml:space="preserve">#4 + #3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</si>
  <si>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</si>
  <si>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</si>
  <si>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</si>
  <si>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</si>
  <si>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</si>
  <si>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</si>
  <si>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</si>
  <si>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</si>
  <si>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</si>
  <si>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</si>
  <si>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</si>
  <si>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</si>
  <si>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</si>
  <si>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</si>
  <si>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</si>
  <si>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</si>
  <si>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</si>
  <si>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</si>
  <si>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</si>
  <si>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</si>
  <si>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</si>
  <si>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</si>
  <si>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</si>
  <si>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</si>
  <si>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</si>
  <si>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</si>
  <si>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</si>
  <si>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</si>
  <si>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</si>
  <si>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</si>
  <si>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</si>
  <si>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</si>
  <si>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</si>
  <si>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</si>
  <si>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</si>
  <si>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</si>
  <si>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</si>
  <si>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</si>
  <si>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</si>
  <si>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</si>
  <si>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</si>
  <si>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</si>
  <si>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</si>
  <si>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</si>
  <si>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</si>
  <si>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</si>
  <si>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</si>
  <si>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</si>
  <si>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</si>
  <si>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</si>
  <si>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 4 #4 por columna. Figurado según cartilla (hoja Foso ascensor).</t>
  </si>
  <si>
    <t xml:space="preserve">2.7</t>
  </si>
  <si>
    <t xml:space="preserve">Acero de refuerzo #3 (3/8") — flejes</t>
  </si>
  <si>
    <t xml:space="preserve">Acero corrugado fy = 420 MPa, NTC 2289. Flejes cerrados #3 @0.075 m, L = 1.50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</si>
  <si>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</si>
  <si>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</si>
  <si>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</si>
  <si>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</si>
  <si>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</si>
  <si>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</si>
  <si>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</si>
  <si>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</si>
  <si>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</si>
  <si>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</si>
  <si>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</si>
  <si>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</si>
  <si>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</si>
  <si>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</si>
  <si>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</si>
  <si>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</si>
  <si>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</si>
  <si>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</si>
  <si>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</si>
  <si>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</si>
  <si>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</si>
  <si>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</si>
  <si>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</si>
  <si>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</si>
  <si>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</si>
  <si>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ml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</si>
  <si>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</si>
  <si>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</si>
  <si>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</si>
  <si>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</si>
  <si>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</si>
  <si>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</si>
  <si>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</si>
  <si>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</si>
  <si>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</si>
  <si>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</si>
  <si>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</si>
  <si>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</si>
  <si>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</si>
  <si>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</si>
  <si>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</si>
  <si>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</si>
  <si>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</si>
  <si>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</si>
  <si>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</si>
  <si>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</si>
  <si>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</si>
  <si>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</si>
  <si>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</si>
  <si>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</si>
  <si>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</si>
  <si>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</si>
  <si>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</si>
  <si>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</si>
  <si>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</si>
  <si>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</si>
  <si>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</si>
  <si>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</si>
  <si>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</si>
  <si>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</si>
  <si>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</si>
  <si>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</si>
  <si>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</si>
  <si>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</si>
  <si>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</si>
  <si>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</si>
  <si>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</si>
  <si>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</si>
  <si>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</si>
  <si>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</si>
  <si>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</si>
  <si>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</si>
  <si>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</si>
  <si>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</si>
  <si>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</si>
  <si>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</si>
  <si>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</si>
  <si>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</si>
  <si>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</si>
  <si>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</si>
  <si>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</si>
  <si>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</si>
  <si>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</si>
  <si>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</si>
  <si>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</si>
  <si>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</si>
  <si>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</si>
  <si>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</si>
  <si>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</si>
  <si>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</si>
  <si>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</si>
  <si>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</si>
  <si>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</si>
  <si>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</si>
  <si>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</si>
  <si>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</si>
  <si>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</si>
  <si>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</si>
  <si>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</si>
  <si>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</si>
  <si>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</si>
  <si>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</si>
  <si>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</si>
  <si>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</si>
  <si>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</si>
  <si>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</si>
  <si>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</si>
  <si>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</si>
  <si>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</si>
  <si>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</si>
  <si>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</si>
  <si>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</si>
  <si>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</si>
  <si>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</si>
  <si>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</si>
  <si>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</si>
  <si>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</si>
  <si>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</si>
  <si>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</si>
  <si>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</si>
  <si>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</si>
  <si>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</si>
  <si>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</si>
  <si>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</si>
  <si>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</si>
  <si>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</si>
  <si>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</si>
  <si>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</si>
  <si>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</si>
  <si>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</si>
  <si>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</si>
  <si>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</si>
  <si>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</si>
  <si>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</si>
  <si>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</si>
  <si>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</si>
  <si>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</si>
  <si>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</si>
  <si>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</si>
  <si>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</si>
  <si>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</si>
  <si>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</si>
  <si>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</si>
  <si>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</si>
  <si>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</si>
  <si>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</si>
  <si>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</si>
  <si>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</si>
  <si>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</si>
  <si>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</si>
  <si>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</si>
  <si>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</si>
  <si>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</si>
  <si>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</si>
  <si>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</si>
  <si>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</si>
  <si>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</si>
  <si>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</si>
  <si>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</si>
  <si>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</si>
  <si>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</si>
  <si>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</si>
  <si>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</si>
  <si>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</si>
  <si>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</si>
  <si>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</si>
  <si>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</si>
  <si>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</si>
  <si>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</si>
  <si>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</si>
  <si>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</si>
  <si>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</si>
  <si>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</si>
  <si>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</si>
  <si>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</si>
  <si>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</si>
  <si>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</si>
  <si>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</si>
  <si>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</si>
  <si>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</si>
  <si>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</si>
  <si>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</si>
  <si>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</si>
  <si>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</si>
  <si>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</si>
  <si>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</si>
  <si>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</si>
  <si>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</si>
  <si>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</si>
  <si>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</si>
  <si>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</si>
  <si>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</si>
  <si>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</si>
  <si>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</si>
  <si>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</si>
  <si>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</si>
  <si>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</si>
  <si>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</si>
  <si>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</si>
  <si>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</si>
  <si>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</si>
  <si>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</si>
  <si>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</si>
  <si>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</si>
  <si>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</si>
  <si>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</si>
  <si>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</si>
  <si>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</si>
  <si>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</si>
  <si>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</si>
  <si>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</si>
  <si>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</si>
  <si>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</si>
  <si>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</si>
  <si>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</si>
  <si>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</si>
  <si>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</si>
  <si>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</si>
  <si>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</si>
  <si>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</si>
  <si>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</si>
  <si>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</si>
  <si>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</si>
  <si>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</si>
  <si>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</si>
  <si>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</si>
  <si>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</si>
  <si>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</si>
  <si>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</si>
  <si>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</si>
  <si>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</si>
  <si>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</si>
  <si>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</si>
  <si>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</si>
  <si>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</si>
  <si>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</si>
  <si>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</si>
  <si>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</si>
  <si>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</si>
  <si>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</si>
  <si>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</si>
  <si>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</si>
  <si>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</si>
  <si>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</si>
  <si>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</si>
  <si>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</si>
  <si>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</si>
  <si>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</si>
  <si>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</si>
  <si>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</si>
  <si>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</si>
  <si>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</si>
  <si>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</si>
  <si>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</si>
  <si>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</si>
  <si>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</si>
  <si>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</si>
  <si>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</si>
  <si>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</si>
  <si>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</si>
  <si>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</si>
  <si>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</si>
  <si>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</si>
  <si>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</si>
  <si>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</si>
  <si>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</si>
  <si>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</si>
  <si>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</si>
  <si>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</si>
  <si>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</si>
  <si>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</si>
  <si>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</si>
  <si>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</si>
  <si>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</si>
  <si>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</si>
  <si>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</si>
  <si>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</si>
  <si>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</si>
  <si>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</si>
  <si>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</si>
  <si>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</si>
  <si>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</si>
  <si>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</si>
  <si>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</si>
  <si>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</si>
  <si>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</si>
  <si>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</si>
  <si>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</si>
  <si>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</si>
  <si>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</si>
  <si>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</si>
  <si>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</si>
  <si>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</si>
  <si>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</si>
  <si>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</si>
  <si>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</si>
  <si>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</si>
  <si>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</si>
  <si>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</si>
  <si>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</si>
  <si>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</si>
  <si>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</si>
  <si>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</si>
  <si>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</si>
  <si>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</si>
  <si>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</si>
  <si>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</si>
  <si>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(1.80+0.20) × (2.20+0.20) × 0.05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</si>
  <si>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</si>
  <si>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</si>
  <si>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</si>
  <si>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</si>
  <si>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</si>
  <si>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</si>
  <si>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</si>
  <si>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</si>
  <si>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</si>
  <si>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</si>
  <si>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</si>
  <si>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</si>
  <si>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</si>
  <si>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</si>
  <si>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</si>
  <si>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</si>
  <si>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</si>
  <si>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</si>
  <si>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</si>
  <si>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</si>
  <si>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</si>
  <si>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</si>
  <si>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</si>
  <si>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</si>
  <si>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</si>
  <si>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</si>
  <si>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</si>
  <si>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</si>
  <si>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</si>
  <si>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</si>
  <si>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</si>
  <si>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</si>
  <si>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</si>
  <si>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recto 1.70 + gancho 180° de 0.20 en cada extremo, L=2.20 (doble parrilla)</t>
  </si>
  <si>
    <t xml:space="preserve">Losa fondo — barras sentido Y (largo)</t>
  </si>
  <si>
    <t xml:space="preserve">Corte B-B: recto 2.10 + gancho 180° de 0.20 en cada extremo, L=2.60 (doble parrilla)</t>
  </si>
  <si>
    <t xml:space="preserve">Muros sentido X — horizontales</t>
  </si>
  <si>
    <t xml:space="preserve">Planta refuerzo: recto 1.68 + patas a 90° de 0.20, L=2.10</t>
  </si>
  <si>
    <t xml:space="preserve">Muros sentido Y — horizontales</t>
  </si>
  <si>
    <t xml:space="preserve">Planta refuerzo: recto 2.08 + patas a 90° de 0.20, L=2.50</t>
  </si>
  <si>
    <t xml:space="preserve">Muros sentido X — verticales</t>
  </si>
  <si>
    <t xml:space="preserve">Cortes: recto 1.28 + gancho sup. 180° de 0.20 + pata inf. 90° de 0.20, L=1.75</t>
  </si>
  <si>
    <t xml:space="preserve">Muros sentido Y — verticales</t>
  </si>
  <si>
    <t xml:space="preserve">Columnas 40×40 — longitudinal</t>
  </si>
  <si>
    <t xml:space="preserve">Confirmado: 4 #4 por columna, recto 1.32 + gancho sup. 180° de 0.20 + pata inf. 90° de 0.20, L=1.80</t>
  </si>
  <si>
    <t xml:space="preserve">Columnas 40×40 — flejes cerrados</t>
  </si>
  <si>
    <t xml:space="preserve">#3</t>
  </si>
  <si>
    <t xml:space="preserve">Confirmado: fleje #3 @0.075 L=1.50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</si>
  <si>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</si>
  <si>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</si>
  <si>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</si>
  <si>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</si>
  <si>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</si>
  <si>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</si>
  <si>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</si>
  <si>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</si>
  <si>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</si>
  <si>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</si>
  <si>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</si>
  <si>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</si>
  <si>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</si>
  <si>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</si>
  <si>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</si>
  <si>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</si>
  <si>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</si>
  <si>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</si>
  <si>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</si>
  <si>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</si>
  <si>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</si>
  <si>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</si>
  <si>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</si>
  <si>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</si>
  <si>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</si>
  <si>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</si>
  <si>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</si>
  <si>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</si>
  <si>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</si>
  <si>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</si>
  <si>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</si>
  <si>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Resuelto</t>
  </si>
  <si>
    <t xml:space="preserve">Columnas 40×40: confirmado 4 #4 por columna (16 barras en total). Longitud total confirmada L=1.80 m.</t>
  </si>
  <si>
    <t xml:space="preserve">Confirmado por el arquitecto.</t>
  </si>
  <si>
    <t xml:space="preserve">Flejes: confirmado fleje #3 @0.075 con L=1.50 m (80 flejes en total).</t>
  </si>
  <si>
    <t xml:space="preserve">Longitudes: L=2.20/2.60 son las barras de losa (ganchos a 180°) y L=2.10/2.50 las horizontales de muro (patas a 90°). Son barras distintas, no hay inconsistencia.</t>
  </si>
  <si>
    <t xml:space="preserve">Ninguna.</t>
  </si>
  <si>
    <t xml:space="preserve">EST-02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</si>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</sst>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ascensor'!K53+'Foso ascensor'!K54)*(1+Supuestos!$B$6)</f>
        <v>342.9657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0.252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46.2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ascensor'!K53*(1+Supuestos!$B$6)</f>
        <v>272.4057</v>
      </c>
      <c r="K14" s="11" t="s">
        <v>58</v>
      </c>
      <c r="L14" s="5" t="s">
        <v>71</v>
      </c>
    </row>
    <row r="15" customFormat="false" ht="23.85" hidden="false" customHeight="false" outlineLevel="0" collapsed="false">
      <c r="A15" s="5" t="s">
        <v>78</v>
      </c>
      <c r="B15" s="5" t="s">
        <v>79</v>
      </c>
      <c r="C15" s="5" t="s">
        <v>80</v>
      </c>
      <c r="D15" s="5" t="s">
        <v>25</v>
      </c>
      <c r="E15" s="5"/>
      <c r="F15" s="5"/>
      <c r="G15" s="5"/>
      <c r="H15" s="5"/>
      <c r="I15" s="5"/>
      <c r="J15" s="10" t="n">
        <f aca="false">'Foso ascensor'!K54*(1+Supuestos!$B$6)</f>
        <v>70.56</v>
      </c>
      <c r="K15" s="11" t="s">
        <v>58</v>
      </c>
      <c r="L15" s="5" t="s">
        <v>71</v>
      </c>
    </row>
    <row r="16" customFormat="false" ht="23.85" hidden="false" customHeight="false" outlineLevel="0" collapsed="false">
      <c r="A16" s="5" t="s">
        <v>81</v>
      </c>
      <c r="B16" s="5" t="s">
        <v>82</v>
      </c>
      <c r="C16" s="5" t="s">
        <v>83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84</v>
      </c>
      <c r="B17" s="5" t="s">
        <v>85</v>
      </c>
      <c r="C17" s="5" t="s">
        <v>86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87</v>
      </c>
      <c r="L17" s="5" t="s">
        <v>88</v>
      </c>
    </row>
    <row r="18" customFormat="false" ht="23.85" hidden="false" customHeight="false" outlineLevel="0" collapsed="false">
      <c r="A18" s="5" t="s">
        <v>89</v>
      </c>
      <c r="B18" s="5" t="s">
        <v>90</v>
      </c>
      <c r="C18" s="5" t="s">
        <v>91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5.8065</v>
      </c>
      <c r="K18" s="11" t="s">
        <v>62</v>
      </c>
      <c r="L18" s="5"/>
    </row>
    <row r="19" customFormat="false" ht="15" hidden="false" customHeight="false" outlineLevel="0" collapsed="false">
      <c r="A19" s="5" t="s">
        <v>92</v>
      </c>
      <c r="B19" s="5" t="s">
        <v>93</v>
      </c>
      <c r="C19" s="5" t="s">
        <v>94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8.229</v>
      </c>
      <c r="K19" s="11" t="s">
        <v>62</v>
      </c>
      <c r="L19" s="5" t="s">
        <v>95</v>
      </c>
    </row>
    <row r="20" customFormat="false" ht="23.85" hidden="false" customHeight="false" outlineLevel="0" collapsed="false">
      <c r="A20" s="5" t="s">
        <v>96</v>
      </c>
      <c r="B20" s="5" t="s">
        <v>97</v>
      </c>
      <c r="C20" s="5" t="s">
        <v>98</v>
      </c>
      <c r="D20" s="5" t="s">
        <v>15</v>
      </c>
      <c r="E20" s="5"/>
      <c r="F20" s="5"/>
      <c r="G20" s="5"/>
      <c r="H20" s="5"/>
      <c r="I20" s="5"/>
      <c r="J20" s="13" t="n">
        <f aca="false">'Foso ascensor'!B59</f>
        <v>4</v>
      </c>
      <c r="K20" s="11" t="s">
        <v>51</v>
      </c>
      <c r="L20" s="5" t="s">
        <v>99</v>
      </c>
    </row>
    <row r="21" customFormat="false" ht="23.85" hidden="false" customHeight="false" outlineLevel="0" collapsed="false">
      <c r="A21" s="5" t="s">
        <v>100</v>
      </c>
      <c r="B21" s="5" t="s">
        <v>101</v>
      </c>
      <c r="C21" s="5" t="s">
        <v>102</v>
      </c>
      <c r="D21" s="5" t="s">
        <v>15</v>
      </c>
      <c r="E21" s="5"/>
      <c r="F21" s="5"/>
      <c r="G21" s="5"/>
      <c r="H21" s="5"/>
      <c r="I21" s="5"/>
      <c r="J21" s="13" t="n">
        <f aca="false">'Foso ascensor'!B61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103</v>
      </c>
      <c r="B22" s="5" t="s">
        <v>104</v>
      </c>
      <c r="C22" s="5" t="s">
        <v>105</v>
      </c>
      <c r="D22" s="5" t="s">
        <v>106</v>
      </c>
      <c r="E22" s="5"/>
      <c r="F22" s="5"/>
      <c r="G22" s="5"/>
      <c r="H22" s="5"/>
      <c r="I22" s="5"/>
      <c r="J22" s="10" t="n">
        <f aca="false">'Foso ascensor'!B62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ascensor'!B63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106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106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87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46.25" hidden="false" customHeight="false" outlineLevel="0" collapsed="false">
      <c r="A28" s="5" t="s">
        <v>387</v>
      </c>
      <c r="B28" s="33" t="n">
        <f aca="false">($B$15+2*Supuestos!$B$17)*($B$16+2*Supuestos!$B$17)*Supuestos!$B$16</f>
        <v>0.24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6.33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5.8065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8.229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23.8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ROUNDUP(D45/C45,0)+1</f>
        <v>12</v>
      </c>
      <c r="F45" s="25" t="n">
        <v>2</v>
      </c>
      <c r="G45" s="37" t="n">
        <f aca="false">E45*F45</f>
        <v>24</v>
      </c>
      <c r="H45" s="29" t="n">
        <v>2.2</v>
      </c>
      <c r="I45" s="18" t="n">
        <f aca="false">G45*H45</f>
        <v>52.8</v>
      </c>
      <c r="J45" s="38" t="n">
        <f aca="false">Supuestos!$B$5</f>
        <v>0.994</v>
      </c>
      <c r="K45" s="18" t="n">
        <f aca="false">I45*J45</f>
        <v>52.4832</v>
      </c>
      <c r="L45" s="5" t="s">
        <v>422</v>
      </c>
    </row>
    <row r="46" customFormat="false" ht="23.8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ROUNDUP(D46/C46,0)+1</f>
        <v>10</v>
      </c>
      <c r="F46" s="25" t="n">
        <v>2</v>
      </c>
      <c r="G46" s="37" t="n">
        <f aca="false">E46*F46</f>
        <v>20</v>
      </c>
      <c r="H46" s="29" t="n">
        <v>2.6</v>
      </c>
      <c r="I46" s="18" t="n">
        <f aca="false">G46*H46</f>
        <v>52</v>
      </c>
      <c r="J46" s="38" t="n">
        <f aca="false">Supuestos!$B$5</f>
        <v>0.994</v>
      </c>
      <c r="K46" s="18" t="n">
        <f aca="false">I46*J46</f>
        <v>51.688</v>
      </c>
      <c r="L46" s="5" t="s">
        <v>424</v>
      </c>
    </row>
    <row r="47" customFormat="false" ht="23.8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37" t="n">
        <f aca="false">ROUNDUP(D47/C47,0)+1</f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23.8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37" t="n">
        <f aca="false">ROUNDUP(D48/C48,0)+1</f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23.8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ROUNDUP(D49/C49,0)+1</f>
        <v>8</v>
      </c>
      <c r="F49" s="25" t="n">
        <v>2</v>
      </c>
      <c r="G49" s="37" t="n">
        <f aca="false">E49*F49</f>
        <v>16</v>
      </c>
      <c r="H49" s="29" t="n">
        <v>1.75</v>
      </c>
      <c r="I49" s="18" t="n">
        <f aca="false">G49*H49</f>
        <v>28</v>
      </c>
      <c r="J49" s="38" t="n">
        <f aca="false">Supuestos!$B$5</f>
        <v>0.994</v>
      </c>
      <c r="K49" s="18" t="n">
        <f aca="false">I49*J49</f>
        <v>27.832</v>
      </c>
      <c r="L49" s="5" t="s">
        <v>430</v>
      </c>
    </row>
    <row r="50" customFormat="false" ht="23.8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ROUNDUP(D50/C50,0)+1</f>
        <v>10</v>
      </c>
      <c r="F50" s="25" t="n">
        <v>2</v>
      </c>
      <c r="G50" s="37" t="n">
        <f aca="false">E50*F50</f>
        <v>20</v>
      </c>
      <c r="H50" s="29" t="n">
        <v>1.75</v>
      </c>
      <c r="I50" s="18" t="n">
        <f aca="false">G50*H50</f>
        <v>35</v>
      </c>
      <c r="J50" s="38" t="n">
        <f aca="false">Supuestos!$B$5</f>
        <v>0.994</v>
      </c>
      <c r="K50" s="18" t="n">
        <f aca="false">I50*J50</f>
        <v>34.79</v>
      </c>
      <c r="L50" s="5" t="s">
        <v>430</v>
      </c>
    </row>
    <row r="51" customFormat="false" ht="23.8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4</v>
      </c>
      <c r="F51" s="25" t="n">
        <v>4</v>
      </c>
      <c r="G51" s="37" t="n">
        <f aca="false">E51*F51</f>
        <v>16</v>
      </c>
      <c r="H51" s="29" t="n">
        <v>1.8</v>
      </c>
      <c r="I51" s="18" t="n">
        <f aca="false">G51*H51</f>
        <v>28.8</v>
      </c>
      <c r="J51" s="38" t="n">
        <f aca="false">Supuestos!$B$5</f>
        <v>0.994</v>
      </c>
      <c r="K51" s="18" t="n">
        <f aca="false">I51*J51</f>
        <v>28.6272</v>
      </c>
      <c r="L51" s="5" t="s">
        <v>433</v>
      </c>
    </row>
    <row r="52" customFormat="false" ht="15" hidden="false" customHeight="false" outlineLevel="0" collapsed="false">
      <c r="A52" s="5" t="s">
        <v>434</v>
      </c>
      <c r="B52" s="5" t="s">
        <v>435</v>
      </c>
      <c r="C52" s="26" t="n">
        <v>0.075</v>
      </c>
      <c r="D52" s="31" t="n">
        <f aca="false">$B$13</f>
        <v>1.4</v>
      </c>
      <c r="E52" s="37" t="n">
        <f aca="false">ROUNDUP(D52/C52,0)+1</f>
        <v>20</v>
      </c>
      <c r="F52" s="25" t="n">
        <v>4</v>
      </c>
      <c r="G52" s="37" t="n">
        <f aca="false">E52*F52</f>
        <v>80</v>
      </c>
      <c r="H52" s="29" t="n">
        <v>1.5</v>
      </c>
      <c r="I52" s="18" t="n">
        <f aca="false">G52*H52</f>
        <v>120</v>
      </c>
      <c r="J52" s="38" t="n">
        <f aca="false">Supuestos!$B$4</f>
        <v>0.56</v>
      </c>
      <c r="K52" s="18" t="n">
        <f aca="false">I52*J52</f>
        <v>67.2</v>
      </c>
      <c r="L52" s="5" t="s">
        <v>436</v>
      </c>
    </row>
    <row r="53" customFormat="false" ht="15" hidden="false" customHeight="false" outlineLevel="0" collapsed="false">
      <c r="A53" s="27" t="s">
        <v>437</v>
      </c>
      <c r="B53" s="2"/>
      <c r="C53" s="2"/>
      <c r="D53" s="2"/>
      <c r="E53" s="2"/>
      <c r="F53" s="2"/>
      <c r="G53" s="2"/>
      <c r="H53" s="2"/>
      <c r="I53" s="36" t="n">
        <f aca="false">SUMIF(B45:B52,"#4",I45:I52)</f>
        <v>261</v>
      </c>
      <c r="J53" s="2"/>
      <c r="K53" s="36" t="n">
        <f aca="false">SUMIF(B45:B52,"#4",K45:K52)</f>
        <v>259.434</v>
      </c>
      <c r="L53" s="2"/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SUMIF(B45:B52,"#3",I45:I52)</f>
        <v>120</v>
      </c>
      <c r="J54" s="2"/>
      <c r="K54" s="36" t="n">
        <f aca="false">SUMIF(B45:B52,"#3",K45:K52)</f>
        <v>67.2</v>
      </c>
      <c r="L54" s="2"/>
    </row>
    <row r="55" customFormat="false" ht="15" hidden="false" customHeight="false" outlineLevel="0" collapsed="false">
      <c r="A55" s="39" t="s">
        <v>439</v>
      </c>
      <c r="B55" s="2"/>
      <c r="C55" s="2"/>
      <c r="D55" s="2"/>
      <c r="E55" s="2"/>
      <c r="F55" s="2"/>
      <c r="G55" s="2"/>
      <c r="H55" s="2"/>
      <c r="I55" s="2"/>
      <c r="J55" s="2"/>
      <c r="K55" s="40" t="n">
        <f aca="false">(K53+K54)/B29</f>
        <v>120.174392935982</v>
      </c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3" t="s">
        <v>440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3.85" hidden="false" customHeight="false" outlineLevel="0" collapsed="false">
      <c r="A58" s="4" t="s">
        <v>378</v>
      </c>
      <c r="B58" s="4" t="s">
        <v>379</v>
      </c>
      <c r="C58" s="4" t="s">
        <v>4</v>
      </c>
      <c r="D58" s="4" t="s">
        <v>441</v>
      </c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5" t="s">
        <v>442</v>
      </c>
      <c r="B59" s="37" t="n">
        <f aca="false">$B$10</f>
        <v>4</v>
      </c>
      <c r="C59" s="5" t="s">
        <v>15</v>
      </c>
      <c r="D59" s="5" t="s">
        <v>443</v>
      </c>
      <c r="E59" s="2"/>
      <c r="F59" s="2"/>
      <c r="G59" s="2"/>
      <c r="H59" s="2"/>
      <c r="I59" s="2"/>
      <c r="J59" s="2"/>
      <c r="K59" s="2"/>
      <c r="L59" s="2"/>
    </row>
    <row r="60" customFormat="false" ht="35.05" hidden="false" customHeight="false" outlineLevel="0" collapsed="false">
      <c r="A60" s="5" t="s">
        <v>444</v>
      </c>
      <c r="B60" s="18" t="n">
        <f aca="false">B59*0.3*0.3*0.016*Supuestos!$B$18</f>
        <v>45.216</v>
      </c>
      <c r="C60" s="5" t="s">
        <v>25</v>
      </c>
      <c r="D60" s="5" t="s">
        <v>445</v>
      </c>
      <c r="E60" s="2"/>
      <c r="F60" s="2"/>
      <c r="G60" s="2"/>
      <c r="H60" s="2"/>
      <c r="I60" s="2"/>
      <c r="J60" s="2"/>
      <c r="K60" s="2"/>
      <c r="L60" s="2"/>
    </row>
    <row r="61" customFormat="false" ht="91" hidden="false" customHeight="false" outlineLevel="0" collapsed="false">
      <c r="A61" s="5" t="s">
        <v>101</v>
      </c>
      <c r="B61" s="37" t="n">
        <f aca="false">4*$B$10</f>
        <v>16</v>
      </c>
      <c r="C61" s="5" t="s">
        <v>15</v>
      </c>
      <c r="D61" s="5" t="s">
        <v>446</v>
      </c>
      <c r="E61" s="2"/>
      <c r="F61" s="2"/>
      <c r="G61" s="2"/>
      <c r="H61" s="2"/>
      <c r="I61" s="2"/>
      <c r="J61" s="2"/>
      <c r="K61" s="2"/>
      <c r="L61" s="2"/>
    </row>
    <row r="62" customFormat="false" ht="57.45" hidden="false" customHeight="false" outlineLevel="0" collapsed="false">
      <c r="A62" s="5" t="s">
        <v>447</v>
      </c>
      <c r="B62" s="18" t="n">
        <f aca="false">$B$10*1.15</f>
        <v>4.6</v>
      </c>
      <c r="C62" s="5" t="s">
        <v>106</v>
      </c>
      <c r="D62" s="5" t="s">
        <v>448</v>
      </c>
      <c r="E62" s="2"/>
      <c r="F62" s="2"/>
      <c r="G62" s="2"/>
      <c r="H62" s="2"/>
      <c r="I62" s="2"/>
      <c r="J62" s="2"/>
      <c r="K62" s="2"/>
      <c r="L62" s="2"/>
    </row>
    <row r="63" customFormat="false" ht="91" hidden="false" customHeight="false" outlineLevel="0" collapsed="false">
      <c r="A63" s="5" t="s">
        <v>449</v>
      </c>
      <c r="B63" s="37" t="n">
        <f aca="false">$B$10</f>
        <v>4</v>
      </c>
      <c r="C63" s="5" t="s">
        <v>15</v>
      </c>
      <c r="D63" s="5" t="s">
        <v>450</v>
      </c>
      <c r="E63" s="2"/>
      <c r="F63" s="2"/>
      <c r="G63" s="2"/>
      <c r="H63" s="2"/>
      <c r="I63" s="2"/>
      <c r="J63" s="2"/>
      <c r="K63" s="2"/>
      <c r="L6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451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452</v>
      </c>
      <c r="B3" s="4" t="s">
        <v>453</v>
      </c>
      <c r="C3" s="4" t="s">
        <v>454</v>
      </c>
      <c r="D3" s="4" t="s">
        <v>455</v>
      </c>
    </row>
    <row r="4" customFormat="false" ht="23.85" hidden="false" customHeight="false" outlineLevel="0" collapsed="false">
      <c r="A4" s="5" t="n">
        <v>1</v>
      </c>
      <c r="B4" s="5" t="s">
        <v>456</v>
      </c>
      <c r="C4" s="5" t="s">
        <v>457</v>
      </c>
      <c r="D4" s="5" t="s">
        <v>458</v>
      </c>
    </row>
    <row r="5" customFormat="false" ht="23.85" hidden="false" customHeight="false" outlineLevel="0" collapsed="false">
      <c r="A5" s="5" t="n">
        <v>2</v>
      </c>
      <c r="B5" s="5" t="s">
        <v>456</v>
      </c>
      <c r="C5" s="5" t="s">
        <v>459</v>
      </c>
      <c r="D5" s="5" t="s">
        <v>460</v>
      </c>
    </row>
    <row r="6" customFormat="false" ht="15" hidden="false" customHeight="false" outlineLevel="0" collapsed="false">
      <c r="A6" s="5" t="n">
        <v>3</v>
      </c>
      <c r="B6" s="5" t="s">
        <v>456</v>
      </c>
      <c r="C6" s="5" t="s">
        <v>461</v>
      </c>
      <c r="D6" s="5" t="s">
        <v>462</v>
      </c>
    </row>
    <row r="7" customFormat="false" ht="23.85" hidden="false" customHeight="false" outlineLevel="0" collapsed="false">
      <c r="A7" s="5" t="n">
        <v>4</v>
      </c>
      <c r="B7" s="5" t="s">
        <v>463</v>
      </c>
      <c r="C7" s="5" t="s">
        <v>464</v>
      </c>
      <c r="D7" s="5" t="s">
        <v>465</v>
      </c>
    </row>
    <row r="8" customFormat="false" ht="23.85" hidden="false" customHeight="false" outlineLevel="0" collapsed="false">
      <c r="A8" s="5" t="n">
        <v>5</v>
      </c>
      <c r="B8" s="5" t="s">
        <v>463</v>
      </c>
      <c r="C8" s="5" t="s">
        <v>466</v>
      </c>
      <c r="D8" s="5" t="s">
        <v>467</v>
      </c>
    </row>
    <row r="9" customFormat="false" ht="23.85" hidden="false" customHeight="false" outlineLevel="0" collapsed="false">
      <c r="A9" s="5" t="n">
        <v>6</v>
      </c>
      <c r="B9" s="5" t="s">
        <v>468</v>
      </c>
      <c r="C9" s="5" t="s">
        <v>469</v>
      </c>
      <c r="D9" s="5" t="s">
        <v>470</v>
      </c>
    </row>
    <row r="10" customFormat="false" ht="15" hidden="false" customHeight="false" outlineLevel="0" collapsed="false">
      <c r="A10" s="5" t="n">
        <v>7</v>
      </c>
      <c r="B10" s="5" t="s">
        <v>468</v>
      </c>
      <c r="C10" s="5" t="s">
        <v>471</v>
      </c>
      <c r="D10" s="5" t="s">
        <v>470</v>
      </c>
    </row>
    <row r="11" customFormat="false" ht="23.85" hidden="false" customHeight="false" outlineLevel="0" collapsed="false">
      <c r="A11" s="5" t="n">
        <v>8</v>
      </c>
      <c r="B11" s="5" t="s">
        <v>468</v>
      </c>
      <c r="C11" s="5" t="s">
        <v>472</v>
      </c>
      <c r="D11" s="5" t="s">
        <v>473</v>
      </c>
    </row>
    <row r="12" customFormat="false" ht="23.85" hidden="false" customHeight="false" outlineLevel="0" collapsed="false">
      <c r="A12" s="5" t="n">
        <v>9</v>
      </c>
      <c r="B12" s="5" t="s">
        <v>474</v>
      </c>
      <c r="C12" s="5" t="s">
        <v>475</v>
      </c>
      <c r="D12" s="5" t="s">
        <v>476</v>
      </c>
    </row>
    <row r="13" customFormat="false" ht="23.85" hidden="false" customHeight="false" outlineLevel="0" collapsed="false">
      <c r="A13" s="5" t="n">
        <v>10</v>
      </c>
      <c r="B13" s="5" t="s">
        <v>474</v>
      </c>
      <c r="C13" s="5" t="s">
        <v>477</v>
      </c>
      <c r="D13" s="5" t="s">
        <v>478</v>
      </c>
    </row>
    <row r="14" customFormat="false" ht="15" hidden="false" customHeight="false" outlineLevel="0" collapsed="false">
      <c r="A14" s="5" t="n">
        <v>11</v>
      </c>
      <c r="B14" s="5" t="s">
        <v>479</v>
      </c>
      <c r="C14" s="5" t="s">
        <v>480</v>
      </c>
      <c r="D14" s="5" t="s">
        <v>481</v>
      </c>
    </row>
    <row r="15" customFormat="false" ht="23.85" hidden="false" customHeight="false" outlineLevel="0" collapsed="false">
      <c r="A15" s="5" t="n">
        <v>12</v>
      </c>
      <c r="B15" s="5" t="s">
        <v>482</v>
      </c>
      <c r="C15" s="5" t="s">
        <v>483</v>
      </c>
      <c r="D15" s="5" t="s">
        <v>484</v>
      </c>
    </row>
    <row r="16" customFormat="false" ht="23.85" hidden="false" customHeight="false" outlineLevel="0" collapsed="false">
      <c r="A16" s="5" t="n">
        <v>13</v>
      </c>
      <c r="B16" s="5" t="s">
        <v>485</v>
      </c>
      <c r="C16" s="5" t="s">
        <v>486</v>
      </c>
      <c r="D16" s="5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2026-10-07T20:36:54Z</dcterms:created>
  <dc:creator>openpyxl</dc:creator>
  <dc:description/>
  <dc:language>en-US</dc:language>
  <cp:lastModifiedBy/>
  <dcterms:modified xsi:type="dcterms:W3CDTF">2026-10-07T20:36:54Z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