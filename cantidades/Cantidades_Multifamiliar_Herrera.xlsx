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ntidades" sheetId="2" state="visible" r:id="rId4"/>
    <sheet name="Supuestos" sheetId="3" state="visible" r:id="rId5"/>
    <sheet name="Datos Revit" sheetId="4" state="visible" r:id="rId6"/>
    <sheet name="Foso ascensor" sheetId="5" state="visible" r:id="rId7"/>
    <sheet name="Observaciones" sheetId="6" state="visible" r:id="rId8"/>
  </sheets>
  <definedNames>
    <definedName function="false" hidden="true" localSheetId="1" name="_xlnm._FilterDatabase" vbProcedure="false">Cantidades!$A$4:$L$72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<sst xmlns="http://schemas.openxmlformats.org/spreadsheetml/2006/main" count="727" uniqueCount="489">
  <si>
    <t xml:space="preserve">RESUMEN DE CANTIDADES PRINCIPALES — MULTIFAMILIAR HERRERA</t>
  </si>
  <si>
    <t xml:space="preserve">Valores enlazados a las hojas de cálculo (se actualizan solos). Sin costos.</t>
  </si>
  <si>
    <t xml:space="preserve">Indicador</t>
  </si>
  <si>
    <t xml:space="preserve">Cantidad</t>
  </si>
  <si>
    <t xml:space="preserve">Und</t>
  </si>
  <si>
    <t xml:space="preserve">Nota</t>
  </si>
  <si>
    <t xml:space="preserve">Área cubierta P1–P5</t>
  </si>
  <si>
    <t xml:space="preserve">m²</t>
  </si>
  <si>
    <t xml:space="preserve">Medida en Revit</t>
  </si>
  <si>
    <t xml:space="preserve">Área exterior (P1)</t>
  </si>
  <si>
    <t xml:space="preserve">Muros de mampostería (área neta, una cara)</t>
  </si>
  <si>
    <t xml:space="preserve">131 muros</t>
  </si>
  <si>
    <t xml:space="preserve">Pañete / estuco / pintura sobre muros (bruto, 2 caras)</t>
  </si>
  <si>
    <t xml:space="preserve">Descontar enchapes</t>
  </si>
  <si>
    <t xml:space="preserve">Puertas (todas)</t>
  </si>
  <si>
    <t xml:space="preserve">un</t>
  </si>
  <si>
    <t xml:space="preserve">Ver observación sobre KPI de 44</t>
  </si>
  <si>
    <t xml:space="preserve">Ventanas y ventanales</t>
  </si>
  <si>
    <t xml:space="preserve">32 convencionales + 6 paneles de muro cortina</t>
  </si>
  <si>
    <t xml:space="preserve">Aparatos sanitarios</t>
  </si>
  <si>
    <t xml:space="preserve">Incluye mamparas</t>
  </si>
  <si>
    <t xml:space="preserve">Foso ascensor — concreto estructural (con desperdicio)</t>
  </si>
  <si>
    <t xml:space="preserve">m³</t>
  </si>
  <si>
    <t xml:space="preserve">Losa + muros + columnas</t>
  </si>
  <si>
    <t xml:space="preserve">Foso ascensor — acero de refuerzo total (con desperdicio)</t>
  </si>
  <si>
    <t xml:space="preserve">kg</t>
  </si>
  <si>
    <t xml:space="preserve">#4 + #3</t>
  </si>
  <si>
    <t xml:space="preserve">Foso ascensor — excavación</t>
  </si>
  <si>
    <t xml:space="preserve">CUADRO DE CANTIDADES DE OBRA — MULTIFAMILIAR HERRERA (Puerto Berrío, Antioquia)</t>
  </si>
  <si>
    <t xml:space="preserve">Alcance: niveles P1–P5 terminados en el modelo Revit + foso de ascensor (plano EST-02). Sin precios: el presupuesto se maneja aparte. Fuente: R = medido en Revit · E = plano estructural EST-02 · D = derivada por fórmula (ver hoja Supuestos) · P = por confirmar.</t>
  </si>
  <si>
    <t xml:space="preserve">Ítem</t>
  </si>
  <si>
    <t xml:space="preserve">Descripción</t>
  </si>
  <si>
    <t xml:space="preserve">Especificación técnica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</si>
  <si>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</si>
  <si>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</si>
  <si>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</si>
  <si>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</si>
  <si>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</si>
  <si>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Cantidad total</t>
  </si>
  <si>
    <t xml:space="preserve">Fuente</t>
  </si>
  <si>
    <t xml:space="preserve">Observaciones</t>
  </si>
  <si>
    <t xml:space="preserve">1</t>
  </si>
  <si>
    <t xml:space="preserve">PRELIMINARES</t>
  </si>
  <si>
    <t xml:space="preserve">1.1</t>
  </si>
  <si>
    <t xml:space="preserve">Localización, trazado y replanteo</t>
  </si>
  <si>
    <t xml:space="preserve">Con equipo de topografía (estación total / nivel). Incluye referencias de ejes y niveles, mojones y estacas.</t>
  </si>
  <si>
    <t xml:space="preserve">R/D</t>
  </si>
  <si>
    <t xml:space="preserve">Área cubierta total P1–P5 + área exterior P1 (área de intervención por nivel).</t>
  </si>
  <si>
    <t xml:space="preserve">1.2</t>
  </si>
  <si>
    <t xml:space="preserve">Localización y replanteo del foso de ascensor</t>
  </si>
  <si>
    <t xml:space="preserve">Replanteo de ejes A-B / 1-2 según planta de geometría EST-02 (cotas a ejes: 1.10, 1.25, 1.19, 1.34 m).</t>
  </si>
  <si>
    <t xml:space="preserve">E</t>
  </si>
  <si>
    <t xml:space="preserve">Huella 2.10 × 2.50 m.</t>
  </si>
  <si>
    <t xml:space="preserve">2</t>
  </si>
  <si>
    <t xml:space="preserve">FOSO DE ASCENSOR — CIMENTACIÓN Y ESTRUCTURA (EST-02)</t>
  </si>
  <si>
    <t xml:space="preserve">2.1</t>
  </si>
  <si>
    <t xml:space="preserve">Excavación manual en material común</t>
  </si>
  <si>
    <t xml:space="preserve">Hasta cota N-1.55 (fondo de solado), con sobreancho de 0.30 m por lado. Incluye perfilado de fondo. Precaución: zapatas vecinas en ejes A y B (NSZ-2.00 / NIZ-2.50) — no descalzar.</t>
  </si>
  <si>
    <t xml:space="preserve">E/D</t>
  </si>
  <si>
    <t xml:space="preserve">2.2</t>
  </si>
  <si>
    <t xml:space="preserve">Solado de limpieza e=0.05 m</t>
  </si>
  <si>
    <t xml:space="preserve">Concreto pobre f'c = 14 MPa (2.000 psi) bajo losa de fondo.</t>
  </si>
  <si>
    <t xml:space="preserve">D</t>
  </si>
  <si>
    <t xml:space="preserve">No dibujado en EST-02; recomendado. Incluye desperdicio.</t>
  </si>
  <si>
    <t xml:space="preserve">2.3</t>
  </si>
  <si>
    <t xml:space="preserve">Concreto losa de fondo e=0.20 m</t>
  </si>
  <si>
    <t xml:space="preserve">Concreto f'c = 21 MPa (3.000 psi) con aditivo impermeabilizante integral. Cara superior a N-1.30, inferior N-1.50. Recubrimiento 75 mm contra suelo.</t>
  </si>
  <si>
    <t xml:space="preserve">Incluye desperdicio. f'c NO indicado en EST-02: confirmar en notas generales (EST-01).</t>
  </si>
  <si>
    <t xml:space="preserve">2.4</t>
  </si>
  <si>
    <t xml:space="preserve">Concreto muros de contención e=0.15 m</t>
  </si>
  <si>
    <t xml:space="preserve">Concreto f'c = 21 MPa (3.000 psi) con aditivo impermeabilizante integral, h = 1.20 m sobre losa (hasta N-0.10).</t>
  </si>
  <si>
    <t xml:space="preserve">Incluye desperdicio.</t>
  </si>
  <si>
    <t xml:space="preserve">2.5</t>
  </si>
  <si>
    <t xml:space="preserve">Concreto columnas 40×40 cm</t>
  </si>
  <si>
    <t xml:space="preserve">Concreto f'c = 21 MPa (3.000 psi). 4 und, de N-1.50 a N-0.10 (h = 1.40 m). Reciben perfil HE 200.</t>
  </si>
  <si>
    <t xml:space="preserve">2.6</t>
  </si>
  <si>
    <t xml:space="preserve">Acero de refuerzo #4 (1/2")</t>
  </si>
  <si>
    <t xml:space="preserve">Acero corrugado fy = 420 MPa (60.000 psi), NTC 2289. Losa doble parrilla #4 c/0.20; muros #4 c/0.20 en ambos sentidos; longitudinal de columnas 4 #4 por columna. Figurado según cartilla (hoja Foso ascensor).</t>
  </si>
  <si>
    <t xml:space="preserve">2.7</t>
  </si>
  <si>
    <t xml:space="preserve">Acero de refuerzo #3 (3/8") — flejes</t>
  </si>
  <si>
    <t xml:space="preserve">Acero corrugado fy = 420 MPa, NTC 2289. Flejes cerrados #3 @0.075 m, L = 1.48 m, gancho a 135°.</t>
  </si>
  <si>
    <t xml:space="preserve">2.8</t>
  </si>
  <si>
    <t xml:space="preserve">Formaleta para muros y columnas del foso</t>
  </si>
  <si>
    <t xml:space="preserve">Formaleta metálica o en madera cepillada, con desmoldante. Ambas caras de muros + caras exteriores de columnas.</t>
  </si>
  <si>
    <t xml:space="preserve">2.9</t>
  </si>
  <si>
    <t xml:space="preserve">Impermeabilización interior del foso</t>
  </si>
  <si>
    <t xml:space="preserve">Mortero impermeable cementicio (2 manos cruzadas) en fondo y muros + mediacaña en encuentros muro-losa. Rematar a N-0.10.</t>
  </si>
  <si>
    <t xml:space="preserve">P</t>
  </si>
  <si>
    <t xml:space="preserve">No especificado en EST-02. Recomendado (foso bajo nivel de terreno).</t>
  </si>
  <si>
    <t xml:space="preserve">2.10</t>
  </si>
  <si>
    <t xml:space="preserve">Relleno compactado perimetral</t>
  </si>
  <si>
    <t xml:space="preserve">Material seleccionado de excavación o recebo, en capas ≤ 0.20 m compactadas al 95 % Proctor modificado.</t>
  </si>
  <si>
    <t xml:space="preserve">2.11</t>
  </si>
  <si>
    <t xml:space="preserve">Retiro de sobrantes</t>
  </si>
  <si>
    <t xml:space="preserve">Cargue, transporte y disposición en sitio autorizado (escombrera).</t>
  </si>
  <si>
    <t xml:space="preserve">Volumen suelto (con expansión).</t>
  </si>
  <si>
    <t xml:space="preserve">2.12</t>
  </si>
  <si>
    <t xml:space="preserve">Platina base A36 300×300×16 mm</t>
  </si>
  <si>
    <t xml:space="preserve">Acero ASTM A36, 4 perforaciones para pernos Ø5/8". Nivelada con mortero sin retracción (grouting).</t>
  </si>
  <si>
    <t xml:space="preserve">Peso total en hoja Foso ascensor.</t>
  </si>
  <si>
    <t xml:space="preserve">2.13</t>
  </si>
  <si>
    <t xml:space="preserve">Pernos de anclaje Ø5/8" con gancho</t>
  </si>
  <si>
    <t xml:space="preserve">Barra roscada ASTM F1554 Gr. 36 (o A307), embebido 314 mm, tuerca y arandela. 4 por platina.</t>
  </si>
  <si>
    <t xml:space="preserve">2.14</t>
  </si>
  <si>
    <t xml:space="preserve">Soldadura de filete 5/16"</t>
  </si>
  <si>
    <t xml:space="preserve">Electrodo E70XX, todo el contorno del perfil HE 200 a la platina.</t>
  </si>
  <si>
    <t xml:space="preserve">ml</t>
  </si>
  <si>
    <t xml:space="preserve">Longitud aproximada por contorno de perfil.</t>
  </si>
  <si>
    <t xml:space="preserve">2.15</t>
  </si>
  <si>
    <t xml:space="preserve">Perfil HE 200 — columnas metálicas del ducto</t>
  </si>
  <si>
    <t xml:space="preserve">Perfil HE 200 (se asume HEB 200 = 61.3 kg/m), ASTM A572 Gr. 50 o A36, con anticorrosivo + esmalte.</t>
  </si>
  <si>
    <t xml:space="preserve">E/P</t>
  </si>
  <si>
    <t xml:space="preserve">Cantidad en ml PENDIENTE: depende de la altura total del ducto (no está en EST-02).</t>
  </si>
  <si>
    <t xml:space="preserve">3</t>
  </si>
  <si>
    <t xml:space="preserve">MAMPOSTERÍA</t>
  </si>
  <si>
    <t xml:space="preserve">3.1</t>
  </si>
  <si>
    <t xml:space="preserve">Muro en mampostería de arcilla</t>
  </si>
  <si>
    <t xml:space="preserve">Unidad de arcilla cocida NTC 4205 (tipo y espesor a confirmar), pega con mortero 1:4 tipo S (NTC 3329), juntas de 1 cm. Área neta medida en Revit (descuenta vanos, sin guardaescoba).</t>
  </si>
  <si>
    <t xml:space="preserve">R</t>
  </si>
  <si>
    <t xml:space="preserve">131 muros en P1–P5.</t>
  </si>
  <si>
    <t xml:space="preserve">3.2</t>
  </si>
  <si>
    <t xml:space="preserve">Unidades de mampostería (referencia)</t>
  </si>
  <si>
    <t xml:space="preserve">Bloque de arcilla 10×20×30 cm (supuesto). Incluye desperdicio.</t>
  </si>
  <si>
    <t xml:space="preserve">Ajustar rendimiento en Supuestos según la unidad especificada.</t>
  </si>
  <si>
    <t xml:space="preserve">3.3</t>
  </si>
  <si>
    <t xml:space="preserve">Mortero de pega 1:4</t>
  </si>
  <si>
    <t xml:space="preserve">Cemento gris + arena de pega, f'cm ≥ 12.5 MPa (tipo S).</t>
  </si>
  <si>
    <t xml:space="preserve">4</t>
  </si>
  <si>
    <t xml:space="preserve">PAÑETES Y ACABADOS DE MUROS</t>
  </si>
  <si>
    <t xml:space="preserve">4.1</t>
  </si>
  <si>
    <t xml:space="preserve">Pañete liso sobre muros (ambas caras)</t>
  </si>
  <si>
    <t xml:space="preserve">Mortero 1:4, e = 1.5 cm promedio, a plomo y regla. En fachada usar mortero 1:3 con impermeabilizante integral.</t>
  </si>
  <si>
    <t xml:space="preserve">Bruto: descontar las zonas que lleven enchape (baños, cocinas) cuando se definan.</t>
  </si>
  <si>
    <t xml:space="preserve">4.2</t>
  </si>
  <si>
    <t xml:space="preserve">Estuco + pintura vinilo tipo 1 (3 manos)</t>
  </si>
  <si>
    <t xml:space="preserve">Estuco plástico + vinilo tipo 1 NTC 1335, color a definir. Fachada: pintura para exteriores (elastomérica o acrílica).</t>
  </si>
  <si>
    <t xml:space="preserve">Misma área bruta que el pañete; descontar enchapes.</t>
  </si>
  <si>
    <t xml:space="preserve">4.3</t>
  </si>
  <si>
    <t xml:space="preserve">Dinteles sobre vanos (puertas y ventanas)</t>
  </si>
  <si>
    <t xml:space="preserve">Dintel en concreto 21 MPa o en perfil, apoyo 0.20 m por lado. Ancho del muro.</t>
  </si>
  <si>
    <t xml:space="preserve">No incluye puertas de vestier Häfele (sin medida en el modelo).</t>
  </si>
  <si>
    <t xml:space="preserve">5</t>
  </si>
  <si>
    <t xml:space="preserve">PISOS</t>
  </si>
  <si>
    <t xml:space="preserve">5.1</t>
  </si>
  <si>
    <t xml:space="preserve">Alistado de piso (mortero de nivelación)</t>
  </si>
  <si>
    <t xml:space="preserve">Mortero 1:4, e = 4 cm, nivelado y afinado para recibir acabado.</t>
  </si>
  <si>
    <t xml:space="preserve">Área cubierta por nivel (Revit).</t>
  </si>
  <si>
    <t xml:space="preserve">5.2</t>
  </si>
  <si>
    <t xml:space="preserve">Mortero para alistado</t>
  </si>
  <si>
    <t xml:space="preserve">Mortero 1:4.</t>
  </si>
  <si>
    <t xml:space="preserve">5.3</t>
  </si>
  <si>
    <t xml:space="preserve">Acabado de piso interior</t>
  </si>
  <si>
    <t xml:space="preserve">Tipo POR DEFINIR (porcelanato / cerámica antideslizante en baños y balcones). Incluye pegante y boquilla.</t>
  </si>
  <si>
    <t xml:space="preserve">R/P</t>
  </si>
  <si>
    <t xml:space="preserve">Área bruta; descontar muros si el área de Revit los incluye. Guardaescoba pendiente (perímetro de rooms).</t>
  </si>
  <si>
    <t xml:space="preserve">5.4</t>
  </si>
  <si>
    <t xml:space="preserve">Piso exterior / andén P1</t>
  </si>
  <si>
    <t xml:space="preserve">Concreto 21 MPa e = 8 cm sobre recebo compactado, o adoquín. Acabado antideslizante.</t>
  </si>
  <si>
    <t xml:space="preserve">6</t>
  </si>
  <si>
    <t xml:space="preserve">CIELORRASOS</t>
  </si>
  <si>
    <t xml:space="preserve">6.1</t>
  </si>
  <si>
    <t xml:space="preserve">Cielorraso interior</t>
  </si>
  <si>
    <t xml:space="preserve">Tipo POR DEFINIR: pañete bajo placa + estuco y vinilo, o drywall en placa de yeso 1/2". En baños usar placa RH.</t>
  </si>
  <si>
    <t xml:space="preserve">D/P</t>
  </si>
  <si>
    <t xml:space="preserve">Aproximado = área cubierta por nivel. Confirmar con plano de cielos (RCP).</t>
  </si>
  <si>
    <t xml:space="preserve">7</t>
  </si>
  <si>
    <t xml:space="preserve">CARPINTERÍA — PUERTAS</t>
  </si>
  <si>
    <t xml:space="preserve">7.1</t>
  </si>
  <si>
    <t xml:space="preserve">Puerta de garaje — 2.4 × 2.1 m</t>
  </si>
  <si>
    <t xml:space="preserve">Puerta metálica enrollable o seccional, lámina cal. 20, con cerradura de seguridad.</t>
  </si>
  <si>
    <t xml:space="preserve">7.2</t>
  </si>
  <si>
    <t xml:space="preserve">Puerta principal de acceso — 0.9 × 2.1 m</t>
  </si>
  <si>
    <t xml:space="preserve">Puerta de seguridad metálica o en madera maciza, marco metálico cal. 18, cerradura de seguridad y mirilla.</t>
  </si>
  <si>
    <t xml:space="preserve">7.3</t>
  </si>
  <si>
    <t xml:space="preserve">Puerta de acceso secundario — 0.915 × 2.13 m</t>
  </si>
  <si>
    <t xml:space="preserve">7.4</t>
  </si>
  <si>
    <t xml:space="preserve">Puerta corrediza social (balcón) — 1.2 × 2.1 m</t>
  </si>
  <si>
    <t xml:space="preserve">Puerta corrediza en aluminio con vidrio de seguridad templado 6 mm (NSR-10 Título K).</t>
  </si>
  <si>
    <t xml:space="preserve">7.5</t>
  </si>
  <si>
    <t xml:space="preserve">Puerta corrediza de habitación/closet — 0.9 × 2.1 m</t>
  </si>
  <si>
    <t xml:space="preserve">Hoja corrediza entamborada en MDF, herraje de riel superior, manija embutida.</t>
  </si>
  <si>
    <t xml:space="preserve">7.6</t>
  </si>
  <si>
    <t xml:space="preserve">Puerta corrediza de baño/closet menor — 0.7 × 2.1 m</t>
  </si>
  <si>
    <t xml:space="preserve">7.7</t>
  </si>
  <si>
    <t xml:space="preserve">Puerta batiente de habitación — 0.8 × 2.1 m</t>
  </si>
  <si>
    <t xml:space="preserve">Hoja entamborada en MDF, marco en madera, bisagras de 3½" y cerradura de pomo.</t>
  </si>
  <si>
    <t xml:space="preserve">7.8</t>
  </si>
  <si>
    <t xml:space="preserve">Puerta batiente de habitación — 0.9 × 2.1 m</t>
  </si>
  <si>
    <t xml:space="preserve">7.9</t>
  </si>
  <si>
    <t xml:space="preserve">Puerta batiente de baño/closet — 0.7 × 2.1 m</t>
  </si>
  <si>
    <t xml:space="preserve">Hoja entamborada en MDF RH (resistente a humedad), marco en madera, cerradura de baño.</t>
  </si>
  <si>
    <t xml:space="preserve">7.10</t>
  </si>
  <si>
    <t xml:space="preserve">Puerta principal de apartamento — 1 × 2.1 m</t>
  </si>
  <si>
    <t xml:space="preserve">7.11</t>
  </si>
  <si>
    <t xml:space="preserve">Puerta-ventanal corrediza (balcón) — 1.6 × 2.3 m</t>
  </si>
  <si>
    <t xml:space="preserve">7.12</t>
  </si>
  <si>
    <t xml:space="preserve">Puerta corrediza de vestier (herraje Häfele) — ≈7.73 m² de hoja (total Revit)</t>
  </si>
  <si>
    <t xml:space="preserve">Puertas corredizas de vestier con herraje Häfele, hoja en MDF/aglomerado enchapado.</t>
  </si>
  <si>
    <t xml:space="preserve">8</t>
  </si>
  <si>
    <t xml:space="preserve">VENTANERÍA Y VIDRIOS</t>
  </si>
  <si>
    <t xml:space="preserve">8.1</t>
  </si>
  <si>
    <t xml:space="preserve">Ventana de habitación — 0.8 × 0.8 m</t>
  </si>
  <si>
    <t xml:space="preserve">Ventana en aluminio (proyectante o corrediza), vidrio incoloro 4 mm, empaques y sellos.</t>
  </si>
  <si>
    <t xml:space="preserve">8.2</t>
  </si>
  <si>
    <t xml:space="preserve">Ventana de baño/cocina — 0.91 × 0.91 m</t>
  </si>
  <si>
    <t xml:space="preserve">Ventana en aluminio, vidrio esmerilado/sandblasting 4 mm (privacidad), con celosía de ventilación.</t>
  </si>
  <si>
    <t xml:space="preserve">8.3</t>
  </si>
  <si>
    <t xml:space="preserve">Ventanal de circulación (hall/escalera) — 0.9 × 2.41 m</t>
  </si>
  <si>
    <t xml:space="preserve">Perfilería en aluminio, vidrio de seguridad laminado o templado 6 mm (vano a piso, NSR-10 Título K).</t>
  </si>
  <si>
    <t xml:space="preserve">8.4</t>
  </si>
  <si>
    <t xml:space="preserve">Ventanal de fachada — acceso — 0.68 × 2.2 m</t>
  </si>
  <si>
    <t xml:space="preserve">8.5</t>
  </si>
  <si>
    <t xml:space="preserve">Área de vidrio en ventanas y ventanales</t>
  </si>
  <si>
    <t xml:space="preserve">Suma de ancho × alto × cantidad.</t>
  </si>
  <si>
    <t xml:space="preserve">No incluye vidrio de puertas-ventanal (ver ítem siguiente).</t>
  </si>
  <si>
    <t xml:space="preserve">8.6</t>
  </si>
  <si>
    <t xml:space="preserve">Área de vidrio de seguridad en puertas-ventanal y puerta de balcón</t>
  </si>
  <si>
    <t xml:space="preserve">Vidrio templado 6 mm.</t>
  </si>
  <si>
    <t xml:space="preserve">8.7</t>
  </si>
  <si>
    <t xml:space="preserve">Alfajías en ventanas (excepto vanos a piso)</t>
  </si>
  <si>
    <t xml:space="preserve">Alfajía prefabricada en concreto o granito, con gotero, pendiente hacia el exterior.</t>
  </si>
  <si>
    <t xml:space="preserve">Solo ventanas de habitación y baño/cocina.</t>
  </si>
  <si>
    <t xml:space="preserve">9</t>
  </si>
  <si>
    <t xml:space="preserve">APARATOS SANITARIOS, GRIFERÍAS E INCRUSTACIONES</t>
  </si>
  <si>
    <t xml:space="preserve">9.1</t>
  </si>
  <si>
    <t xml:space="preserve">Sanitario</t>
  </si>
  <si>
    <t xml:space="preserve">Sanitario de porcelana vitrificada, tanque de bajo consumo (≤ 4.8 L/descarga, NTC 920), con grifería de llenado y asiento.</t>
  </si>
  <si>
    <t xml:space="preserve">9.2</t>
  </si>
  <si>
    <t xml:space="preserve">Cabina de ducha</t>
  </si>
  <si>
    <t xml:space="preserve">Zona de ducha con piso en cerámica antideslizante, pendiente 1–2 % al sifón; cabina según modelo Revit.</t>
  </si>
  <si>
    <t xml:space="preserve">9.3</t>
  </si>
  <si>
    <t xml:space="preserve">Regadera de ducha</t>
  </si>
  <si>
    <t xml:space="preserve">Regadera + mezclador monocontrol cromado (agua fría/caliente), sistema ahorrador.</t>
  </si>
  <si>
    <t xml:space="preserve">9.4</t>
  </si>
  <si>
    <t xml:space="preserve">Ducha accesible (con barras)</t>
  </si>
  <si>
    <t xml:space="preserve">Ducha a nivel sin sardinel, asiento abatible y barras de apoyo en acero inoxidable (NTC 6047 accesibilidad).</t>
  </si>
  <si>
    <t xml:space="preserve">9.5</t>
  </si>
  <si>
    <t xml:space="preserve">Lavamanos de baño</t>
  </si>
  <si>
    <t xml:space="preserve">Lavamanos de porcelana (de incrustar u ovalín), con sifón, desagüe y grifería monocontrol ahorradora.</t>
  </si>
  <si>
    <t xml:space="preserve">9.6</t>
  </si>
  <si>
    <t xml:space="preserve">Mampara de baño</t>
  </si>
  <si>
    <t xml:space="preserve">Mampara en vidrio templado 8 mm con perfilería en aluminio (NSR-10 Título K).</t>
  </si>
  <si>
    <t xml:space="preserve">9.7</t>
  </si>
  <si>
    <t xml:space="preserve">Grifería de lavamanos</t>
  </si>
  <si>
    <t xml:space="preserve">Monocontrol cromada, aireador ahorrador.</t>
  </si>
  <si>
    <t xml:space="preserve">1 por lavamanos.</t>
  </si>
  <si>
    <t xml:space="preserve">9.8</t>
  </si>
  <si>
    <t xml:space="preserve">Mezclador de ducha</t>
  </si>
  <si>
    <t xml:space="preserve">Monocontrol empotrado, cartucho cerámico.</t>
  </si>
  <si>
    <t xml:space="preserve">Regaderas + ducha accesible.</t>
  </si>
  <si>
    <t xml:space="preserve">9.9</t>
  </si>
  <si>
    <t xml:space="preserve">Juego de incrustaciones por baño</t>
  </si>
  <si>
    <t xml:space="preserve">Toallero, jabonera, portarrollos y gancho, en porcelana o acero inoxidable.</t>
  </si>
  <si>
    <t xml:space="preserve">jg</t>
  </si>
  <si>
    <t xml:space="preserve">1 juego por baño (= N° de sanitarios).</t>
  </si>
  <si>
    <t xml:space="preserve">9.10</t>
  </si>
  <si>
    <t xml:space="preserve">Sifón de piso 3" con rejilla</t>
  </si>
  <si>
    <t xml:space="preserve">PVC sanitario + rejilla en acero inoxidable.</t>
  </si>
  <si>
    <t xml:space="preserve">Mínimo 1 por ducha; agregar los de cocina/zona de ropas.</t>
  </si>
  <si>
    <t xml:space="preserve">10</t>
  </si>
  <si>
    <t xml:space="preserve">EQUIPO DE ASCENSOR</t>
  </si>
  <si>
    <t xml:space="preserve">10.1</t>
  </si>
  <si>
    <t xml:space="preserve">Ascensor de pasajeros</t>
  </si>
  <si>
    <t xml:space="preserve">Ascensor eléctrico sin cuarto de máquinas (MRL), capacidad y paradas POR DEFINIR (6 niveles), NTC 5926 / EN 81-20. Incluye cabina, puertas de piso, guías, contrapeso y control.</t>
  </si>
  <si>
    <t xml:space="preserve">gl</t>
  </si>
  <si>
    <t xml:space="preserve">QA crítico: el ascensor no está modelado en Revit. El foso de EST-02 tiene luz libre 1.50 × 1.90 m: validar con el proveedor.</t>
  </si>
  <si>
    <t xml:space="preserve">SUPUESTOS Y PARÁMETROS DE CÁLCULO</t>
  </si>
  <si>
    <t xml:space="preserve">Celdas en azul con fondo amarillo = parámetros editables. Al cambiarlos se recalculan todas las cantidades derivadas. Fuente indicada en la columna D.</t>
  </si>
  <si>
    <t xml:space="preserve">Parámetro</t>
  </si>
  <si>
    <t xml:space="preserve">Valor</t>
  </si>
  <si>
    <t xml:space="preserve">Fuente / criterio</t>
  </si>
  <si>
    <t xml:space="preserve">Peso nominal barra #3 (3/8")</t>
  </si>
  <si>
    <t xml:space="preserve">kg/m</t>
  </si>
  <si>
    <t xml:space="preserve">NSR-10 / NTC 2289</t>
  </si>
  <si>
    <t xml:space="preserve">Peso nominal barra #4 (1/2")</t>
  </si>
  <si>
    <t xml:space="preserve">Desperdicio acero de refuerzo</t>
  </si>
  <si>
    <t xml:space="preserve">Criterio usual de obra (traslapos y cortes)</t>
  </si>
  <si>
    <t xml:space="preserve">Desperdicio concreto</t>
  </si>
  <si>
    <t xml:space="preserve">Criterio usual de obra</t>
  </si>
  <si>
    <t xml:space="preserve">Unidades de mampostería por m² (bloque arcilla 10×20×30 cm, junta 1 cm)</t>
  </si>
  <si>
    <t xml:space="preserve">un/m²</t>
  </si>
  <si>
    <t xml:space="preserve">1/(0.31×0.21). AJUSTAR si la unidad especificada es otra (p.ej. tolete 6×12×24 ≈ 54 un/m² en soga)</t>
  </si>
  <si>
    <t xml:space="preserve">Desperdicio unidades de mampostería</t>
  </si>
  <si>
    <t xml:space="preserve">Mortero de pega por m² de muro (bloque e=10 cm)</t>
  </si>
  <si>
    <t xml:space="preserve">m³/m²</t>
  </si>
  <si>
    <t xml:space="preserve">Rendimiento de referencia; ajustar según unidad y espesor de junta</t>
  </si>
  <si>
    <t xml:space="preserve">Caras de pañete/estuco/pintura por muro</t>
  </si>
  <si>
    <t xml:space="preserve">caras</t>
  </si>
  <si>
    <t xml:space="preserve">Supuesto: todos los muros se revocan por ambas caras (bruto, sin descontar enchapes)</t>
  </si>
  <si>
    <t xml:space="preserve">Espesor de alistado (mortero de nivelación) de piso</t>
  </si>
  <si>
    <t xml:space="preserve">m</t>
  </si>
  <si>
    <t xml:space="preserve">Supuesto de diseño; confirmar con nivel de acabado</t>
  </si>
  <si>
    <t xml:space="preserve">Sobreancho de excavación por lado (foso)</t>
  </si>
  <si>
    <t xml:space="preserve">Espacio de trabajo para formaleta exterior</t>
  </si>
  <si>
    <t xml:space="preserve">Profundidad de excavación foso (desde N-0.10)</t>
  </si>
  <si>
    <t xml:space="preserve">N-0.10 a N-1.50 (EST-02) + 0.05 de solado</t>
  </si>
  <si>
    <t xml:space="preserve">Factor de expansión del suelo (sobrantes)</t>
  </si>
  <si>
    <t xml:space="preserve">Criterio usual para material común</t>
  </si>
  <si>
    <t xml:space="preserve">Espesor solado de limpieza</t>
  </si>
  <si>
    <t xml:space="preserve">Recomendado bajo losa en contacto con suelo (no dibujado en EST-02)</t>
  </si>
  <si>
    <t xml:space="preserve">Sobreancho solado por lado</t>
  </si>
  <si>
    <t xml:space="preserve">Criterio usual</t>
  </si>
  <si>
    <t xml:space="preserve">Densidad acero estructural</t>
  </si>
  <si>
    <t xml:space="preserve">kg/m³</t>
  </si>
  <si>
    <t xml:space="preserve">Valor estándar</t>
  </si>
  <si>
    <t xml:space="preserve">Peso perfil HE 200 (se asume HEB 200)</t>
  </si>
  <si>
    <t xml:space="preserve">HEB 200 = 61.3 kg/m; si es HEA 200 usar 42.3 kg/m. EST-02 no lo precisa</t>
  </si>
  <si>
    <t xml:space="preserve">Apoyo de dintel por lado</t>
  </si>
  <si>
    <t xml:space="preserve">Criterio usual en mampostería</t>
  </si>
  <si>
    <t xml:space="preserve">Recubrimiento de impermeabilización interior foso</t>
  </si>
  <si>
    <t xml:space="preserve">1 = incluir (recomendado para foso bajo nivel de piso)</t>
  </si>
  <si>
    <t xml:space="preserve">DATOS DE ENTRADA — EXTRAÍDOS DEL MODELO REVIT (MULTIF H - RVT.rvt)</t>
  </si>
  <si>
    <t xml:space="preserve">Fuente: dashboard index.html (consulta directa al modelo). Solo niveles P1–P5 terminados; P6/P7 y cubierta en diseño, NO incluidos.</t>
  </si>
  <si>
    <t xml:space="preserve">1. SUPERFICIES Y MUROS POR NIVEL</t>
  </si>
  <si>
    <t xml:space="preserve">Concepto</t>
  </si>
  <si>
    <t xml:space="preserve">Total</t>
  </si>
  <si>
    <t xml:space="preserve">Área cubierta</t>
  </si>
  <si>
    <t xml:space="preserve">Programa de superficies Revit</t>
  </si>
  <si>
    <t xml:space="preserve">Área exterior</t>
  </si>
  <si>
    <t xml:space="preserve">Solo P1</t>
  </si>
  <si>
    <t xml:space="preserve">N° de muros de mampostería</t>
  </si>
  <si>
    <t xml:space="preserve">Área de muros de mampostería (neta, una cara)</t>
  </si>
  <si>
    <t xml:space="preserve">Revit descuenta vanos de puertas/ventanas. Sin guardaescoba</t>
  </si>
  <si>
    <t xml:space="preserve">2. PUERTAS — por función y medida</t>
  </si>
  <si>
    <t xml:space="preserve">Función</t>
  </si>
  <si>
    <t xml:space="preserve">Ancho (m)</t>
  </si>
  <si>
    <t xml:space="preserve">Alto (m)</t>
  </si>
  <si>
    <t xml:space="preserve">Puerta de garaje</t>
  </si>
  <si>
    <t xml:space="preserve">Puerta principal de acceso</t>
  </si>
  <si>
    <t xml:space="preserve">Puerta de acceso secundario</t>
  </si>
  <si>
    <t xml:space="preserve">Medida imperial 3'×7'</t>
  </si>
  <si>
    <t xml:space="preserve">Puerta corrediza social (balcón)</t>
  </si>
  <si>
    <t xml:space="preserve">Puerta corrediza de habitación/closet</t>
  </si>
  <si>
    <t xml:space="preserve">Puerta corrediza de baño/closet menor</t>
  </si>
  <si>
    <t xml:space="preserve">Puerta batiente de habitación</t>
  </si>
  <si>
    <t xml:space="preserve">Puerta batiente de baño/closet</t>
  </si>
  <si>
    <t xml:space="preserve">Puerta principal de apartamento</t>
  </si>
  <si>
    <t xml:space="preserve">Puerta-ventanal corrediza (balcón)</t>
  </si>
  <si>
    <t xml:space="preserve">Puerta corrediza de vestier (herraje Häfele)</t>
  </si>
  <si>
    <t xml:space="preserve">Revit reporta ≈7.73 m² de hoja; sin ancho/alto definido</t>
  </si>
  <si>
    <t xml:space="preserve">TOTAL PUERTAS</t>
  </si>
  <si>
    <t xml:space="preserve">3. VENTANAS Y VENTANALES — por función y medida</t>
  </si>
  <si>
    <t xml:space="preserve">Ventana de habitación</t>
  </si>
  <si>
    <t xml:space="preserve">Ventana de baño/cocina</t>
  </si>
  <si>
    <t xml:space="preserve">Ventanal de circulación (hall/escalera)</t>
  </si>
  <si>
    <t xml:space="preserve">Panel de muro cortina</t>
  </si>
  <si>
    <t xml:space="preserve">Ventanal de fachada — acceso</t>
  </si>
  <si>
    <t xml:space="preserve">TOTAL VENTANAS</t>
  </si>
  <si>
    <t xml:space="preserve">4. APARATOS SANITARIOS — verificados elemento por elemento</t>
  </si>
  <si>
    <t xml:space="preserve">Aparato</t>
  </si>
  <si>
    <t xml:space="preserve">TOTAL APARATOS</t>
  </si>
  <si>
    <t xml:space="preserve">MEMORIA DE CÁLCULO — FOSO DE ASCENSOR (plano EST-02, versión 01, 19/06/2026)</t>
  </si>
  <si>
    <t xml:space="preserve">Diseño estructural: A3 Ingeniería. Escala 1:25. Cotas en m. Valores en azul tomados del plano; las cantidades son fórmulas.</t>
  </si>
  <si>
    <t xml:space="preserve">A. GEOMETRÍA (según planta, cortes A-A y B-B)</t>
  </si>
  <si>
    <t xml:space="preserve">Dato</t>
  </si>
  <si>
    <t xml:space="preserve">Luz libre interior del foso — sentido X</t>
  </si>
  <si>
    <t xml:space="preserve">Planta foso</t>
  </si>
  <si>
    <t xml:space="preserve">Luz libre interior del foso — sentido Y</t>
  </si>
  <si>
    <t xml:space="preserve">Espesor muros de concreto</t>
  </si>
  <si>
    <t xml:space="preserve">Planta foso: Muro e=0.15m</t>
  </si>
  <si>
    <t xml:space="preserve">Lado columna cuadrada (4 und, en esquinas)</t>
  </si>
  <si>
    <t xml:space="preserve">Columna 40×40</t>
  </si>
  <si>
    <t xml:space="preserve">Número de columnas</t>
  </si>
  <si>
    <t xml:space="preserve">Distancia libre entre caras de columnas — X</t>
  </si>
  <si>
    <t xml:space="preserve">Distancia libre entre caras de columnas — Y</t>
  </si>
  <si>
    <t xml:space="preserve">Altura total foso (N-0.10 a N-1.50)</t>
  </si>
  <si>
    <t xml:space="preserve">Cortes A-A / B-B</t>
  </si>
  <si>
    <t xml:space="preserve">Espesor losa de fondo</t>
  </si>
  <si>
    <t xml:space="preserve">Losa e=0.20m</t>
  </si>
  <si>
    <t xml:space="preserve">Losa — dimensión exterior X (luz + 2 muros)</t>
  </si>
  <si>
    <t xml:space="preserve">Losa — dimensión exterior Y (luz + 2 muros)</t>
  </si>
  <si>
    <t xml:space="preserve">Huella total con columnas — X</t>
  </si>
  <si>
    <t xml:space="preserve">Huella total con columnas — Y</t>
  </si>
  <si>
    <t xml:space="preserve">Traslapo columna–losa por esquina (lado)</t>
  </si>
  <si>
    <t xml:space="preserve">Altura libre muros (sobre losa)</t>
  </si>
  <si>
    <t xml:space="preserve">Profundidad útil del foso (N-0.10 a cara superior losa)</t>
  </si>
  <si>
    <t xml:space="preserve">Verificar contra la ficha técnica del ascensor elegido</t>
  </si>
  <si>
    <t xml:space="preserve">B. CONCRETO</t>
  </si>
  <si>
    <t xml:space="preserve">Elemento</t>
  </si>
  <si>
    <t xml:space="preserve">Cant.</t>
  </si>
  <si>
    <t xml:space="preserve">Cálculo</t>
  </si>
  <si>
    <t xml:space="preserve">Columnas 40×40 (altura total foso)</t>
  </si>
  <si>
    <t xml:space="preserve">4 × 0.40 × 0.40 × 1.40</t>
  </si>
  <si>
    <t xml:space="preserve">Losa de fondo e=0.20 (descontando columnas)</t>
  </si>
  <si>
    <t xml:space="preserve">1.80 × 2.20 × 0.20 − 4 × 0.25² × 0.20</t>
  </si>
  <si>
    <t xml:space="preserve">Muros e=0.15 (entre columnas, sobre losa)</t>
  </si>
  <si>
    <t xml:space="preserve">(2×1.30 + 2×1.70) × 1.20 × 0.15</t>
  </si>
  <si>
    <t xml:space="preserve">Solado de limpieza (concreto pobre)</t>
  </si>
  <si>
    <t xml:space="preserve">(1.80+0.20) × (2.20+0.20) × 0.05 — recomendado</t>
  </si>
  <si>
    <t xml:space="preserve">TOTAL CONCRETO ESTRUCTURAL (sin desperdicio)</t>
  </si>
  <si>
    <t xml:space="preserve">C. MOVIMIENTO DE TIERRA Y FORMALETA</t>
  </si>
  <si>
    <t xml:space="preserve">Excavación manual</t>
  </si>
  <si>
    <t xml:space="preserve">(2.10+0.60) × (2.50+0.60) × 1.45</t>
  </si>
  <si>
    <t xml:space="preserve">Volumen ocupado por el foso + solado</t>
  </si>
  <si>
    <t xml:space="preserve">Huella real (losa + salientes de columnas) × 1.40 + solado</t>
  </si>
  <si>
    <t xml:space="preserve">Relleno compactado perimetral (material seleccionado)</t>
  </si>
  <si>
    <t xml:space="preserve">Excavación − volumen ocupado. Compactar en capas ≤ 0.20 m</t>
  </si>
  <si>
    <t xml:space="preserve">Retiro de sobrantes (suelto)</t>
  </si>
  <si>
    <t xml:space="preserve">(Excavación − relleno) × factor de expansión</t>
  </si>
  <si>
    <t xml:space="preserve">Formaleta muros — cara interior</t>
  </si>
  <si>
    <t xml:space="preserve">Perímetro interior 6.80 × 1.20</t>
  </si>
  <si>
    <t xml:space="preserve">Formaleta muros — cara exterior</t>
  </si>
  <si>
    <t xml:space="preserve">Tramos entre columnas 6.00 × 1.40</t>
  </si>
  <si>
    <t xml:space="preserve">Formaleta columnas — caras exteriores expuestas</t>
  </si>
  <si>
    <t xml:space="preserve">4 × (2×0.40 + 2×0.15) × 1.40</t>
  </si>
  <si>
    <t xml:space="preserve">TOTAL FORMALETA</t>
  </si>
  <si>
    <t xml:space="preserve">Impermeabilización interior (fondo + muros)</t>
  </si>
  <si>
    <t xml:space="preserve">1.50×1.90 + 6.80×1.20 — no especificado en EST-02, recomendado</t>
  </si>
  <si>
    <t xml:space="preserve">D. CARTILLA DE DESPIECE — ACERO DE REFUERZO fy = 420 MPa</t>
  </si>
  <si>
    <t xml:space="preserve">Elemento / posición</t>
  </si>
  <si>
    <t xml:space="preserve">Barra</t>
  </si>
  <si>
    <t xml:space="preserve">Separación (m)</t>
  </si>
  <si>
    <t xml:space="preserve">Long. a distribuir (m)</t>
  </si>
  <si>
    <t xml:space="preserve">N° barras por capa/elem.</t>
  </si>
  <si>
    <t xml:space="preserve">Capas o elementos</t>
  </si>
  <si>
    <t xml:space="preserve">N° barras total</t>
  </si>
  <si>
    <t xml:space="preserve">L barra (m)</t>
  </si>
  <si>
    <t xml:space="preserve">Long. total (m)</t>
  </si>
  <si>
    <t xml:space="preserve">Peso (kg)</t>
  </si>
  <si>
    <t xml:space="preserve">Fuente en plano</t>
  </si>
  <si>
    <t xml:space="preserve">Losa fondo — barras sentido X (corto)</t>
  </si>
  <si>
    <t xml:space="preserve">#4</t>
  </si>
  <si>
    <t xml:space="preserve">Corte A-A: #4 c/0.20 L=2.20 (doble parrilla)</t>
  </si>
  <si>
    <t xml:space="preserve">Losa fondo — barras sentido Y (largo)</t>
  </si>
  <si>
    <t xml:space="preserve">Corte B-B: #4 c/0.20 L=2.60 (doble parrilla)</t>
  </si>
  <si>
    <t xml:space="preserve">Muros sentido X — horizontales</t>
  </si>
  <si>
    <t xml:space="preserve">Planta refuerzo: #4 c/0.20 L=2.10</t>
  </si>
  <si>
    <t xml:space="preserve">Muros sentido Y — horizontales</t>
  </si>
  <si>
    <t xml:space="preserve">Planta refuerzo: #4 c/0.20 L=2.50</t>
  </si>
  <si>
    <t xml:space="preserve">Muros sentido X — verticales (gancho a losa)</t>
  </si>
  <si>
    <t xml:space="preserve">Cortes A-A/B-B: #4 c/0.20 L=1.75</t>
  </si>
  <si>
    <t xml:space="preserve">Muros sentido Y — verticales (gancho a losa)</t>
  </si>
  <si>
    <t xml:space="preserve">Columnas 40×40 — longitudinal</t>
  </si>
  <si>
    <t xml:space="preserve">Confirmado: 4 #4 por columna (L=1.85 del detalle)</t>
  </si>
  <si>
    <t xml:space="preserve">Columnas 40×40 — flejes cerrados</t>
  </si>
  <si>
    <t xml:space="preserve">#3</t>
  </si>
  <si>
    <t xml:space="preserve">Confirmado: fleje #3 @0.075 L=1.48</t>
  </si>
  <si>
    <t xml:space="preserve">Subtotal #4 (sin desperdicio)</t>
  </si>
  <si>
    <t xml:space="preserve">Subtotal #3 (sin desperdicio)</t>
  </si>
  <si>
    <t xml:space="preserve">Cuantía de referencia (kg acero / m³ concreto)</t>
  </si>
  <si>
    <t xml:space="preserve">E. ESTRUCTURA METÁLICA — DETALLE CONEXIÓN 1 (perfil HE 200 a columna 40×40)</t>
  </si>
  <si>
    <t xml:space="preserve">Especificación / cálculo</t>
  </si>
  <si>
    <t xml:space="preserve">Platina base A36 300×300×16 mm — unidades</t>
  </si>
  <si>
    <t xml:space="preserve">1 por columna</t>
  </si>
  <si>
    <t xml:space="preserve">Platina base A36 300×300×16 mm — peso</t>
  </si>
  <si>
    <t xml:space="preserve">0.30 × 0.30 × 0.016 × 7850 por platina</t>
  </si>
  <si>
    <t xml:space="preserve">4 por platina. Longitud ≈ 0.34 m + gancho 0.10 m (detalle perno); embebido 314 mm</t>
  </si>
  <si>
    <t xml:space="preserve">Soldadura filete 5/16" alrededor del perfil</t>
  </si>
  <si>
    <t xml:space="preserve">≈1.15 m de cordón por perfil HE 200 (contorno del perfil)</t>
  </si>
  <si>
    <t xml:space="preserve">Perfil HE 200 — columnas del ducto (arranque)</t>
  </si>
  <si>
    <t xml:space="preserve">Longitud = altura del ducto hasta sala de máquinas/cubierta: NO definida en EST-02</t>
  </si>
  <si>
    <t xml:space="preserve">OBSERVACIONES, INCONSISTENCIAS Y PENDIENTES</t>
  </si>
  <si>
    <t xml:space="preserve">N°</t>
  </si>
  <si>
    <t xml:space="preserve">Tipo</t>
  </si>
  <si>
    <t xml:space="preserve">Observación</t>
  </si>
  <si>
    <t xml:space="preserve">Acción recomendada</t>
  </si>
  <si>
    <t xml:space="preserve">Inconsistencia</t>
  </si>
  <si>
    <t xml:space="preserve">Área de muros: el aviso del dashboard dice 1,377.66 m² / 130 muros, pero la tabla por piso suma 1,359.15 m² / 131 muros.</t>
  </si>
  <si>
    <t xml:space="preserve">Se usó la tabla por piso (1,359.15 m²). Actualizar el aviso del dashboard.</t>
  </si>
  <si>
    <t xml:space="preserve">Puertas: el KPI dice 44 und, la tabla por función suma 42. En P2 la ficha del plano dice 8 puertas y la tabla 7.</t>
  </si>
  <si>
    <t xml:space="preserve">Re-extraer la tabla de puertas de Revit y conciliar (faltan 2 en el detalle).</t>
  </si>
  <si>
    <t xml:space="preserve">Aparatos sanitarios: el KPI dice 61, el gráfico por nivel suma 56 y la tabla detallada suma 62.</t>
  </si>
  <si>
    <t xml:space="preserve">Se usó la tabla detallada (62). Verificar en Revit.</t>
  </si>
  <si>
    <t xml:space="preserve">Faltante crítico</t>
  </si>
  <si>
    <t xml:space="preserve">El plano estructural recibido es EST-02 de 02: falta EST-01 (cimentación general, columnas, vigas, placas, escaleras).</t>
  </si>
  <si>
    <t xml:space="preserve">Enviar EST-01 para cuantificar concreto y acero del edificio completo.</t>
  </si>
  <si>
    <t xml:space="preserve">El ascensor no está modelado en Revit (QA crítico). El foso aparece en EST-02 entre ejes A-B / 1-2.</t>
  </si>
  <si>
    <t xml:space="preserve">Coordinar la ubicación del ducto en planta arquitectónica y la ficha del proveedor (foso útil 1.20 m, luz 1.50 × 1.90 m).</t>
  </si>
  <si>
    <t xml:space="preserve">Resuelto</t>
  </si>
  <si>
    <t xml:space="preserve">Columnas 40×40: confirmado 4 #4 por columna (16 barras en total). Se tomó L=1.85 m del detalle de refuerzo.</t>
  </si>
  <si>
    <t xml:space="preserve">Confirmado por el arquitecto. Verificar que la longitud de 1.85 m quede en la cartilla final.</t>
  </si>
  <si>
    <t xml:space="preserve">Flejes: confirmado fleje #3 @0.075 con L=1.48 m (80 flejes en total).</t>
  </si>
  <si>
    <t xml:space="preserve">Confirmado por el arquitecto.</t>
  </si>
  <si>
    <t xml:space="preserve">EST-02</t>
  </si>
  <si>
    <t xml:space="preserve">Barras de losa: la planta indica L=2.10/2.50 y los cortes L=2.20/2.60. Se usaron las de los cortes (losa) y las de planta (horizontales de muros).</t>
  </si>
  <si>
    <t xml:space="preserve">Confirmar la cartilla de hierros con el calculista.</t>
  </si>
  <si>
    <t xml:space="preserve">La lámina no indica f'c del concreto, fy del acero, recubrimientos generales ni tipo exacto de perfil (HEA/HEB 200). Se asumió 21 MPa, 420 MPa y HEB 200.</t>
  </si>
  <si>
    <t xml:space="preserve">Verificar en notas generales de EST-01.</t>
  </si>
  <si>
    <t xml:space="preserve">El rótulo indica archivo digital '2026_06_24_TANQUE ALMACENAMIENTO_T2', parece una plantilla reutilizada.</t>
  </si>
  <si>
    <t xml:space="preserve">Solicitar corrección del rótulo.</t>
  </si>
  <si>
    <t xml:space="preserve">Alcance</t>
  </si>
  <si>
    <t xml:space="preserve">Solo se cuantifican P1–P5. P6, P7 y la cubierta siguen en diseño.</t>
  </si>
  <si>
    <t xml:space="preserve">Actualizar cuando se terminen esos niveles en el modelo.</t>
  </si>
  <si>
    <t xml:space="preserve">Pendiente</t>
  </si>
  <si>
    <t xml:space="preserve">Sin datos para: enchapes de baños y cocinas, guardaescobas, mesones, instalaciones hidrosanitarias, eléctricas y de gas, cubierta, escaleras y barandas, aparatos de cocina.</t>
  </si>
  <si>
    <t xml:space="preserve">Extraer de Revit las tablas de perímetro de rooms y de acabados, y los planos técnicos.</t>
  </si>
  <si>
    <t xml:space="preserve">Supuesto</t>
  </si>
  <si>
    <t xml:space="preserve">Las cantidades derivadas (unidades de mampostería, mortero, pañetes, dinteles, cielos) usan los rendimientos de la hoja Supuestos.</t>
  </si>
  <si>
    <t xml:space="preserve">Ajustarlos según las especificaciones definitivas del proyecto.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</si>
</sst>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-#,##0.00;\-"/>
    <numFmt numFmtId="166" formatCode="#,##0;\-#,##0;\-"/>
    <numFmt numFmtId="167" formatCode="#,##0.000;\-#,##0.000;\-"/>
    <numFmt numFmtId="168" formatCode="#,##0.000"/>
    <numFmt numFmtId="169" formatCode="0%"/>
    <numFmt numFmtId="170" formatCode="#,##0.00"/>
    <numFmt numFmtId="171" formatCode="0.000"/>
    <numFmt numFmtId="172" formatCode="0.00"/>
    <numFmt numFmtId="173" formatCode="0"/>
    <numFmt numFmtId="174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'Datos Revit'!H6</f>
        <v>566.81</v>
      </c>
      <c r="C5" s="5" t="s">
        <v>7</v>
      </c>
      <c r="D5" s="5" t="s">
        <v>8</v>
      </c>
    </row>
    <row r="6" customFormat="false" ht="15" hidden="false" customHeight="false" outlineLevel="0" collapsed="false">
      <c r="A6" s="5" t="s">
        <v>9</v>
      </c>
      <c r="B6" s="6" t="n">
        <f aca="false">'Datos Revit'!H7</f>
        <v>37.09</v>
      </c>
      <c r="C6" s="5" t="s">
        <v>7</v>
      </c>
      <c r="D6" s="5"/>
    </row>
    <row r="7" customFormat="false" ht="15" hidden="false" customHeight="false" outlineLevel="0" collapsed="false">
      <c r="A7" s="5" t="s">
        <v>10</v>
      </c>
      <c r="B7" s="6" t="n">
        <f aca="false">'Datos Revit'!H9</f>
        <v>1359.15</v>
      </c>
      <c r="C7" s="5" t="s">
        <v>7</v>
      </c>
      <c r="D7" s="5" t="s">
        <v>11</v>
      </c>
    </row>
    <row r="8" customFormat="false" ht="15" hidden="false" customHeight="false" outlineLevel="0" collapsed="false">
      <c r="A8" s="5" t="s">
        <v>12</v>
      </c>
      <c r="B8" s="6" t="n">
        <f aca="false">Cantidades!J29</f>
        <v>2718.3</v>
      </c>
      <c r="C8" s="5" t="s">
        <v>7</v>
      </c>
      <c r="D8" s="5" t="s">
        <v>13</v>
      </c>
    </row>
    <row r="9" customFormat="false" ht="15" hidden="false" customHeight="false" outlineLevel="0" collapsed="false">
      <c r="A9" s="5" t="s">
        <v>14</v>
      </c>
      <c r="B9" s="7" t="n">
        <f aca="false">'Datos Revit'!I25</f>
        <v>42</v>
      </c>
      <c r="C9" s="5" t="s">
        <v>15</v>
      </c>
      <c r="D9" s="5" t="s">
        <v>16</v>
      </c>
    </row>
    <row r="10" customFormat="false" ht="15" hidden="false" customHeight="false" outlineLevel="0" collapsed="false">
      <c r="A10" s="5" t="s">
        <v>17</v>
      </c>
      <c r="B10" s="7" t="n">
        <f aca="false">'Datos Revit'!I33</f>
        <v>38</v>
      </c>
      <c r="C10" s="5" t="s">
        <v>15</v>
      </c>
      <c r="D10" s="5" t="s">
        <v>18</v>
      </c>
    </row>
    <row r="11" customFormat="false" ht="15" hidden="false" customHeight="false" outlineLevel="0" collapsed="false">
      <c r="A11" s="5" t="s">
        <v>19</v>
      </c>
      <c r="B11" s="7" t="n">
        <f aca="false">'Datos Revit'!I43</f>
        <v>62</v>
      </c>
      <c r="C11" s="5" t="s">
        <v>15</v>
      </c>
      <c r="D11" s="5" t="s">
        <v>20</v>
      </c>
    </row>
    <row r="12" customFormat="false" ht="15" hidden="false" customHeight="false" outlineLevel="0" collapsed="false">
      <c r="A12" s="5" t="s">
        <v>21</v>
      </c>
      <c r="B12" s="6" t="n">
        <f aca="false">'Foso ascensor'!B29*(1+Supuestos!$B$7)</f>
        <v>2.8539</v>
      </c>
      <c r="C12" s="5" t="s">
        <v>22</v>
      </c>
      <c r="D12" s="5" t="s">
        <v>23</v>
      </c>
    </row>
    <row r="13" customFormat="false" ht="15" hidden="false" customHeight="false" outlineLevel="0" collapsed="false">
      <c r="A13" s="5" t="s">
        <v>24</v>
      </c>
      <c r="B13" s="6" t="n">
        <f aca="false">('Foso ascensor'!K53+'Foso ascensor'!K54)*(1+Supuestos!$B$6)</f>
        <v>342.85986</v>
      </c>
      <c r="C13" s="5" t="s">
        <v>25</v>
      </c>
      <c r="D13" s="5" t="s">
        <v>26</v>
      </c>
    </row>
    <row r="14" customFormat="false" ht="15" hidden="false" customHeight="false" outlineLevel="0" collapsed="false">
      <c r="A14" s="5" t="s">
        <v>27</v>
      </c>
      <c r="B14" s="6" t="n">
        <f aca="false">'Foso ascensor'!B33</f>
        <v>12.1365</v>
      </c>
      <c r="C14" s="5" t="s">
        <v>22</v>
      </c>
      <c r="D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4" min="4" style="0" width="6"/>
    <col collapsed="false" customWidth="true" hidden="false" outlineLevel="0" max="9" min="5" style="0" width="9"/>
    <col collapsed="false" customWidth="true" hidden="false" outlineLevel="0" max="10" min="10" style="0" width="13"/>
    <col collapsed="false" customWidth="true" hidden="false" outlineLevel="0" max="11" min="11" style="0" width="7"/>
    <col collapsed="false" customWidth="true" hidden="false" outlineLevel="0" max="12" min="12" style="0" width="46"/>
  </cols>
  <sheetData>
    <row r="1" customFormat="false" ht="17.35" hidden="false" customHeight="false" outlineLevel="0" collapsed="false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3.85" hidden="false" customHeight="false" outlineLevel="0" collapsed="false">
      <c r="A4" s="4" t="s">
        <v>30</v>
      </c>
      <c r="B4" s="4" t="s">
        <v>31</v>
      </c>
      <c r="C4" s="4" t="s">
        <v>32</v>
      </c>
      <c r="D4" s="4" t="s">
        <v>4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</row>
    <row r="5" customFormat="false" ht="15" hidden="false" customHeight="false" outlineLevel="0" collapsed="false">
      <c r="A5" s="9" t="s">
        <v>41</v>
      </c>
      <c r="B5" s="9" t="s">
        <v>42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customFormat="false" ht="23.85" hidden="false" customHeight="false" outlineLevel="0" collapsed="false">
      <c r="A6" s="5" t="s">
        <v>43</v>
      </c>
      <c r="B6" s="5" t="s">
        <v>44</v>
      </c>
      <c r="C6" s="5" t="s">
        <v>45</v>
      </c>
      <c r="D6" s="5" t="s">
        <v>7</v>
      </c>
      <c r="E6" s="5"/>
      <c r="F6" s="5"/>
      <c r="G6" s="5"/>
      <c r="H6" s="5"/>
      <c r="I6" s="5"/>
      <c r="J6" s="10" t="n">
        <f aca="false">'Datos Revit'!H6+'Datos Revit'!H7</f>
        <v>603.9</v>
      </c>
      <c r="K6" s="11" t="s">
        <v>46</v>
      </c>
      <c r="L6" s="5" t="s">
        <v>47</v>
      </c>
    </row>
    <row r="7" customFormat="false" ht="23.85" hidden="false" customHeight="false" outlineLevel="0" collapsed="false">
      <c r="A7" s="5" t="s">
        <v>48</v>
      </c>
      <c r="B7" s="5" t="s">
        <v>49</v>
      </c>
      <c r="C7" s="5" t="s">
        <v>50</v>
      </c>
      <c r="D7" s="5" t="s">
        <v>7</v>
      </c>
      <c r="E7" s="5"/>
      <c r="F7" s="5"/>
      <c r="G7" s="5"/>
      <c r="H7" s="5"/>
      <c r="I7" s="5"/>
      <c r="J7" s="10" t="n">
        <f aca="false">'Foso ascensor'!$B$17*'Foso ascensor'!$B$18</f>
        <v>5.25</v>
      </c>
      <c r="K7" s="11" t="s">
        <v>51</v>
      </c>
      <c r="L7" s="5" t="s">
        <v>52</v>
      </c>
    </row>
    <row r="8" customFormat="false" ht="15" hidden="false" customHeight="false" outlineLevel="0" collapsed="false">
      <c r="A8" s="9" t="s">
        <v>53</v>
      </c>
      <c r="B8" s="9" t="s">
        <v>54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35.05" hidden="false" customHeight="false" outlineLevel="0" collapsed="false">
      <c r="A9" s="5" t="s">
        <v>55</v>
      </c>
      <c r="B9" s="5" t="s">
        <v>56</v>
      </c>
      <c r="C9" s="5" t="s">
        <v>57</v>
      </c>
      <c r="D9" s="5" t="s">
        <v>22</v>
      </c>
      <c r="E9" s="5"/>
      <c r="F9" s="5"/>
      <c r="G9" s="5"/>
      <c r="H9" s="5"/>
      <c r="I9" s="5"/>
      <c r="J9" s="10" t="n">
        <f aca="false">'Foso ascensor'!B33</f>
        <v>12.1365</v>
      </c>
      <c r="K9" s="11" t="s">
        <v>58</v>
      </c>
      <c r="L9" s="5"/>
    </row>
    <row r="10" customFormat="false" ht="23.85" hidden="false" customHeight="false" outlineLevel="0" collapsed="false">
      <c r="A10" s="5" t="s">
        <v>59</v>
      </c>
      <c r="B10" s="5" t="s">
        <v>60</v>
      </c>
      <c r="C10" s="5" t="s">
        <v>61</v>
      </c>
      <c r="D10" s="5" t="s">
        <v>22</v>
      </c>
      <c r="E10" s="5"/>
      <c r="F10" s="5"/>
      <c r="G10" s="5"/>
      <c r="H10" s="5"/>
      <c r="I10" s="5"/>
      <c r="J10" s="12" t="n">
        <f aca="false">'Foso ascensor'!B28*(1+Supuestos!$B$7)</f>
        <v>0.252</v>
      </c>
      <c r="K10" s="11" t="s">
        <v>62</v>
      </c>
      <c r="L10" s="5" t="s">
        <v>63</v>
      </c>
    </row>
    <row r="11" customFormat="false" ht="35.05" hidden="false" customHeight="false" outlineLevel="0" collapsed="false">
      <c r="A11" s="5" t="s">
        <v>64</v>
      </c>
      <c r="B11" s="5" t="s">
        <v>65</v>
      </c>
      <c r="C11" s="5" t="s">
        <v>66</v>
      </c>
      <c r="D11" s="5" t="s">
        <v>22</v>
      </c>
      <c r="E11" s="5"/>
      <c r="F11" s="5"/>
      <c r="G11" s="5"/>
      <c r="H11" s="5"/>
      <c r="I11" s="5"/>
      <c r="J11" s="12" t="n">
        <f aca="false">'Foso ascensor'!B26*(1+Supuestos!$B$7)</f>
        <v>0.7791</v>
      </c>
      <c r="K11" s="11" t="s">
        <v>51</v>
      </c>
      <c r="L11" s="5" t="s">
        <v>67</v>
      </c>
    </row>
    <row r="12" customFormat="false" ht="23.85" hidden="false" customHeight="false" outlineLevel="0" collapsed="false">
      <c r="A12" s="5" t="s">
        <v>68</v>
      </c>
      <c r="B12" s="5" t="s">
        <v>69</v>
      </c>
      <c r="C12" s="5" t="s">
        <v>70</v>
      </c>
      <c r="D12" s="5" t="s">
        <v>22</v>
      </c>
      <c r="E12" s="5"/>
      <c r="F12" s="5"/>
      <c r="G12" s="5"/>
      <c r="H12" s="5"/>
      <c r="I12" s="5"/>
      <c r="J12" s="12" t="n">
        <f aca="false">'Foso ascensor'!B27*(1+Supuestos!$B$7)</f>
        <v>1.134</v>
      </c>
      <c r="K12" s="11" t="s">
        <v>51</v>
      </c>
      <c r="L12" s="5" t="s">
        <v>71</v>
      </c>
    </row>
    <row r="13" customFormat="false" ht="23.85" hidden="false" customHeight="false" outlineLevel="0" collapsed="false">
      <c r="A13" s="5" t="s">
        <v>72</v>
      </c>
      <c r="B13" s="5" t="s">
        <v>73</v>
      </c>
      <c r="C13" s="5" t="s">
        <v>74</v>
      </c>
      <c r="D13" s="5" t="s">
        <v>22</v>
      </c>
      <c r="E13" s="5"/>
      <c r="F13" s="5"/>
      <c r="G13" s="5"/>
      <c r="H13" s="5"/>
      <c r="I13" s="5"/>
      <c r="J13" s="12" t="n">
        <f aca="false">'Foso ascensor'!B25*(1+Supuestos!$B$7)</f>
        <v>0.9408</v>
      </c>
      <c r="K13" s="11" t="s">
        <v>51</v>
      </c>
      <c r="L13" s="5" t="s">
        <v>71</v>
      </c>
    </row>
    <row r="14" customFormat="false" ht="46.25" hidden="false" customHeight="false" outlineLevel="0" collapsed="false">
      <c r="A14" s="5" t="s">
        <v>75</v>
      </c>
      <c r="B14" s="5" t="s">
        <v>76</v>
      </c>
      <c r="C14" s="5" t="s">
        <v>77</v>
      </c>
      <c r="D14" s="5" t="s">
        <v>25</v>
      </c>
      <c r="E14" s="5"/>
      <c r="F14" s="5"/>
      <c r="G14" s="5"/>
      <c r="H14" s="5"/>
      <c r="I14" s="5"/>
      <c r="J14" s="10" t="n">
        <f aca="false">'Foso ascensor'!K53*(1+Supuestos!$B$6)</f>
        <v>273.24066</v>
      </c>
      <c r="K14" s="11" t="s">
        <v>58</v>
      </c>
      <c r="L14" s="5" t="s">
        <v>71</v>
      </c>
    </row>
    <row r="15" customFormat="false" ht="23.85" hidden="false" customHeight="false" outlineLevel="0" collapsed="false">
      <c r="A15" s="5" t="s">
        <v>78</v>
      </c>
      <c r="B15" s="5" t="s">
        <v>79</v>
      </c>
      <c r="C15" s="5" t="s">
        <v>80</v>
      </c>
      <c r="D15" s="5" t="s">
        <v>25</v>
      </c>
      <c r="E15" s="5"/>
      <c r="F15" s="5"/>
      <c r="G15" s="5"/>
      <c r="H15" s="5"/>
      <c r="I15" s="5"/>
      <c r="J15" s="10" t="n">
        <f aca="false">'Foso ascensor'!K54*(1+Supuestos!$B$6)</f>
        <v>69.6192</v>
      </c>
      <c r="K15" s="11" t="s">
        <v>58</v>
      </c>
      <c r="L15" s="5" t="s">
        <v>71</v>
      </c>
    </row>
    <row r="16" customFormat="false" ht="23.85" hidden="false" customHeight="false" outlineLevel="0" collapsed="false">
      <c r="A16" s="5" t="s">
        <v>81</v>
      </c>
      <c r="B16" s="5" t="s">
        <v>82</v>
      </c>
      <c r="C16" s="5" t="s">
        <v>83</v>
      </c>
      <c r="D16" s="5" t="s">
        <v>7</v>
      </c>
      <c r="E16" s="5"/>
      <c r="F16" s="5"/>
      <c r="G16" s="5"/>
      <c r="H16" s="5"/>
      <c r="I16" s="5"/>
      <c r="J16" s="10" t="n">
        <f aca="false">'Foso ascensor'!B40</f>
        <v>22.72</v>
      </c>
      <c r="K16" s="11" t="s">
        <v>62</v>
      </c>
      <c r="L16" s="5"/>
    </row>
    <row r="17" customFormat="false" ht="23.85" hidden="false" customHeight="false" outlineLevel="0" collapsed="false">
      <c r="A17" s="5" t="s">
        <v>84</v>
      </c>
      <c r="B17" s="5" t="s">
        <v>85</v>
      </c>
      <c r="C17" s="5" t="s">
        <v>86</v>
      </c>
      <c r="D17" s="5" t="s">
        <v>7</v>
      </c>
      <c r="E17" s="5"/>
      <c r="F17" s="5"/>
      <c r="G17" s="5"/>
      <c r="H17" s="5"/>
      <c r="I17" s="5"/>
      <c r="J17" s="10" t="n">
        <f aca="false">'Foso ascensor'!B41</f>
        <v>11.01</v>
      </c>
      <c r="K17" s="11" t="s">
        <v>87</v>
      </c>
      <c r="L17" s="5" t="s">
        <v>88</v>
      </c>
    </row>
    <row r="18" customFormat="false" ht="23.85" hidden="false" customHeight="false" outlineLevel="0" collapsed="false">
      <c r="A18" s="5" t="s">
        <v>89</v>
      </c>
      <c r="B18" s="5" t="s">
        <v>90</v>
      </c>
      <c r="C18" s="5" t="s">
        <v>91</v>
      </c>
      <c r="D18" s="5" t="s">
        <v>22</v>
      </c>
      <c r="E18" s="5"/>
      <c r="F18" s="5"/>
      <c r="G18" s="5"/>
      <c r="H18" s="5"/>
      <c r="I18" s="5"/>
      <c r="J18" s="10" t="n">
        <f aca="false">'Foso ascensor'!B35</f>
        <v>5.8065</v>
      </c>
      <c r="K18" s="11" t="s">
        <v>62</v>
      </c>
      <c r="L18" s="5"/>
    </row>
    <row r="19" customFormat="false" ht="15" hidden="false" customHeight="false" outlineLevel="0" collapsed="false">
      <c r="A19" s="5" t="s">
        <v>92</v>
      </c>
      <c r="B19" s="5" t="s">
        <v>93</v>
      </c>
      <c r="C19" s="5" t="s">
        <v>94</v>
      </c>
      <c r="D19" s="5" t="s">
        <v>22</v>
      </c>
      <c r="E19" s="5"/>
      <c r="F19" s="5"/>
      <c r="G19" s="5"/>
      <c r="H19" s="5"/>
      <c r="I19" s="5"/>
      <c r="J19" s="10" t="n">
        <f aca="false">'Foso ascensor'!B36</f>
        <v>8.229</v>
      </c>
      <c r="K19" s="11" t="s">
        <v>62</v>
      </c>
      <c r="L19" s="5" t="s">
        <v>95</v>
      </c>
    </row>
    <row r="20" customFormat="false" ht="23.85" hidden="false" customHeight="false" outlineLevel="0" collapsed="false">
      <c r="A20" s="5" t="s">
        <v>96</v>
      </c>
      <c r="B20" s="5" t="s">
        <v>97</v>
      </c>
      <c r="C20" s="5" t="s">
        <v>98</v>
      </c>
      <c r="D20" s="5" t="s">
        <v>15</v>
      </c>
      <c r="E20" s="5"/>
      <c r="F20" s="5"/>
      <c r="G20" s="5"/>
      <c r="H20" s="5"/>
      <c r="I20" s="5"/>
      <c r="J20" s="13" t="n">
        <f aca="false">'Foso ascensor'!B59</f>
        <v>4</v>
      </c>
      <c r="K20" s="11" t="s">
        <v>51</v>
      </c>
      <c r="L20" s="5" t="s">
        <v>99</v>
      </c>
    </row>
    <row r="21" customFormat="false" ht="23.85" hidden="false" customHeight="false" outlineLevel="0" collapsed="false">
      <c r="A21" s="5" t="s">
        <v>100</v>
      </c>
      <c r="B21" s="5" t="s">
        <v>101</v>
      </c>
      <c r="C21" s="5" t="s">
        <v>102</v>
      </c>
      <c r="D21" s="5" t="s">
        <v>15</v>
      </c>
      <c r="E21" s="5"/>
      <c r="F21" s="5"/>
      <c r="G21" s="5"/>
      <c r="H21" s="5"/>
      <c r="I21" s="5"/>
      <c r="J21" s="13" t="n">
        <f aca="false">'Foso ascensor'!B61</f>
        <v>16</v>
      </c>
      <c r="K21" s="11" t="s">
        <v>51</v>
      </c>
      <c r="L21" s="5"/>
    </row>
    <row r="22" customFormat="false" ht="15" hidden="false" customHeight="false" outlineLevel="0" collapsed="false">
      <c r="A22" s="5" t="s">
        <v>103</v>
      </c>
      <c r="B22" s="5" t="s">
        <v>104</v>
      </c>
      <c r="C22" s="5" t="s">
        <v>105</v>
      </c>
      <c r="D22" s="5" t="s">
        <v>106</v>
      </c>
      <c r="E22" s="5"/>
      <c r="F22" s="5"/>
      <c r="G22" s="5"/>
      <c r="H22" s="5"/>
      <c r="I22" s="5"/>
      <c r="J22" s="10" t="n">
        <f aca="false">'Foso ascensor'!B62</f>
        <v>4.6</v>
      </c>
      <c r="K22" s="11" t="s">
        <v>58</v>
      </c>
      <c r="L22" s="5" t="s">
        <v>107</v>
      </c>
    </row>
    <row r="23" customFormat="false" ht="23.85" hidden="false" customHeight="false" outlineLevel="0" collapsed="false">
      <c r="A23" s="5" t="s">
        <v>108</v>
      </c>
      <c r="B23" s="5" t="s">
        <v>109</v>
      </c>
      <c r="C23" s="5" t="s">
        <v>110</v>
      </c>
      <c r="D23" s="5" t="s">
        <v>15</v>
      </c>
      <c r="E23" s="5"/>
      <c r="F23" s="5"/>
      <c r="G23" s="5"/>
      <c r="H23" s="5"/>
      <c r="I23" s="5"/>
      <c r="J23" s="13" t="n">
        <f aca="false">'Foso ascensor'!B63</f>
        <v>4</v>
      </c>
      <c r="K23" s="11" t="s">
        <v>111</v>
      </c>
      <c r="L23" s="5" t="s">
        <v>112</v>
      </c>
    </row>
    <row r="24" customFormat="false" ht="15" hidden="false" customHeight="false" outlineLevel="0" collapsed="false">
      <c r="A24" s="9" t="s">
        <v>113</v>
      </c>
      <c r="B24" s="9" t="s">
        <v>114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35.05" hidden="false" customHeight="false" outlineLevel="0" collapsed="false">
      <c r="A25" s="5" t="s">
        <v>115</v>
      </c>
      <c r="B25" s="5" t="s">
        <v>116</v>
      </c>
      <c r="C25" s="5" t="s">
        <v>117</v>
      </c>
      <c r="D25" s="5" t="s">
        <v>7</v>
      </c>
      <c r="E25" s="6" t="n">
        <f aca="false">'Datos Revit'!C9</f>
        <v>339.4</v>
      </c>
      <c r="F25" s="6" t="n">
        <f aca="false">'Datos Revit'!D9</f>
        <v>251.1</v>
      </c>
      <c r="G25" s="6" t="n">
        <f aca="false">'Datos Revit'!E9</f>
        <v>256.42</v>
      </c>
      <c r="H25" s="6" t="n">
        <f aca="false">'Datos Revit'!F9</f>
        <v>256.08</v>
      </c>
      <c r="I25" s="6" t="n">
        <f aca="false">'Datos Revit'!G9</f>
        <v>256.15</v>
      </c>
      <c r="J25" s="14" t="n">
        <f aca="false">SUM(E25:I25)</f>
        <v>1359.15</v>
      </c>
      <c r="K25" s="11" t="s">
        <v>118</v>
      </c>
      <c r="L25" s="5" t="s">
        <v>119</v>
      </c>
    </row>
    <row r="26" customFormat="false" ht="23.85" hidden="false" customHeight="false" outlineLevel="0" collapsed="false">
      <c r="A26" s="5" t="s">
        <v>120</v>
      </c>
      <c r="B26" s="5" t="s">
        <v>121</v>
      </c>
      <c r="C26" s="5" t="s">
        <v>122</v>
      </c>
      <c r="D26" s="5" t="s">
        <v>15</v>
      </c>
      <c r="E26" s="7" t="n">
        <f aca="false">E25*Supuestos!$B$8*(1+Supuestos!$B$9)</f>
        <v>5488.098</v>
      </c>
      <c r="F26" s="7" t="n">
        <f aca="false">F25*Supuestos!$B$8*(1+Supuestos!$B$9)</f>
        <v>4060.287</v>
      </c>
      <c r="G26" s="7" t="n">
        <f aca="false">G25*Supuestos!$B$8*(1+Supuestos!$B$9)</f>
        <v>4146.3114</v>
      </c>
      <c r="H26" s="7" t="n">
        <f aca="false">H25*Supuestos!$B$8*(1+Supuestos!$B$9)</f>
        <v>4140.8136</v>
      </c>
      <c r="I26" s="7" t="n">
        <f aca="false">I25*Supuestos!$B$8*(1+Supuestos!$B$9)</f>
        <v>4141.9455</v>
      </c>
      <c r="J26" s="15" t="n">
        <f aca="false">SUM(E26:I26)</f>
        <v>21977.4555</v>
      </c>
      <c r="K26" s="11" t="s">
        <v>62</v>
      </c>
      <c r="L26" s="5" t="s">
        <v>123</v>
      </c>
    </row>
    <row r="27" customFormat="false" ht="15" hidden="false" customHeight="false" outlineLevel="0" collapsed="false">
      <c r="A27" s="5" t="s">
        <v>124</v>
      </c>
      <c r="B27" s="5" t="s">
        <v>125</v>
      </c>
      <c r="C27" s="5" t="s">
        <v>126</v>
      </c>
      <c r="D27" s="5" t="s">
        <v>22</v>
      </c>
      <c r="E27" s="16" t="n">
        <f aca="false">E25*Supuestos!$B$10</f>
        <v>4.0728</v>
      </c>
      <c r="F27" s="16" t="n">
        <f aca="false">F25*Supuestos!$B$10</f>
        <v>3.0132</v>
      </c>
      <c r="G27" s="16" t="n">
        <f aca="false">G25*Supuestos!$B$10</f>
        <v>3.07704</v>
      </c>
      <c r="H27" s="16" t="n">
        <f aca="false">H25*Supuestos!$B$10</f>
        <v>3.07296</v>
      </c>
      <c r="I27" s="16" t="n">
        <f aca="false">I25*Supuestos!$B$10</f>
        <v>3.0738</v>
      </c>
      <c r="J27" s="17" t="n">
        <f aca="false">SUM(E27:I27)</f>
        <v>16.3098</v>
      </c>
      <c r="K27" s="11" t="s">
        <v>62</v>
      </c>
      <c r="L27" s="5"/>
    </row>
    <row r="28" customFormat="false" ht="15" hidden="false" customHeight="false" outlineLevel="0" collapsed="false">
      <c r="A28" s="9" t="s">
        <v>127</v>
      </c>
      <c r="B28" s="9" t="s">
        <v>128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23.85" hidden="false" customHeight="false" outlineLevel="0" collapsed="false">
      <c r="A29" s="5" t="s">
        <v>129</v>
      </c>
      <c r="B29" s="5" t="s">
        <v>130</v>
      </c>
      <c r="C29" s="5" t="s">
        <v>131</v>
      </c>
      <c r="D29" s="5" t="s">
        <v>7</v>
      </c>
      <c r="E29" s="6" t="n">
        <f aca="false">E25*Supuestos!$B$11</f>
        <v>678.8</v>
      </c>
      <c r="F29" s="6" t="n">
        <f aca="false">F25*Supuestos!$B$11</f>
        <v>502.2</v>
      </c>
      <c r="G29" s="6" t="n">
        <f aca="false">G25*Supuestos!$B$11</f>
        <v>512.84</v>
      </c>
      <c r="H29" s="6" t="n">
        <f aca="false">H25*Supuestos!$B$11</f>
        <v>512.16</v>
      </c>
      <c r="I29" s="6" t="n">
        <f aca="false">I25*Supuestos!$B$11</f>
        <v>512.3</v>
      </c>
      <c r="J29" s="14" t="n">
        <f aca="false">SUM(E29:I29)</f>
        <v>2718.3</v>
      </c>
      <c r="K29" s="11" t="s">
        <v>62</v>
      </c>
      <c r="L29" s="5" t="s">
        <v>132</v>
      </c>
    </row>
    <row r="30" customFormat="false" ht="23.85" hidden="false" customHeight="false" outlineLevel="0" collapsed="false">
      <c r="A30" s="5" t="s">
        <v>133</v>
      </c>
      <c r="B30" s="5" t="s">
        <v>134</v>
      </c>
      <c r="C30" s="5" t="s">
        <v>135</v>
      </c>
      <c r="D30" s="5" t="s">
        <v>7</v>
      </c>
      <c r="E30" s="18" t="n">
        <f aca="false">E29</f>
        <v>678.8</v>
      </c>
      <c r="F30" s="18" t="n">
        <f aca="false">F29</f>
        <v>502.2</v>
      </c>
      <c r="G30" s="18" t="n">
        <f aca="false">G29</f>
        <v>512.84</v>
      </c>
      <c r="H30" s="18" t="n">
        <f aca="false">H29</f>
        <v>512.16</v>
      </c>
      <c r="I30" s="18" t="n">
        <f aca="false">I29</f>
        <v>512.3</v>
      </c>
      <c r="J30" s="14" t="n">
        <f aca="false">SUM(E30:I30)</f>
        <v>2718.3</v>
      </c>
      <c r="K30" s="11" t="s">
        <v>62</v>
      </c>
      <c r="L30" s="5" t="s">
        <v>136</v>
      </c>
    </row>
    <row r="31" customFormat="false" ht="23.85" hidden="false" customHeight="false" outlineLevel="0" collapsed="false">
      <c r="A31" s="5" t="s">
        <v>137</v>
      </c>
      <c r="B31" s="5" t="s">
        <v>138</v>
      </c>
      <c r="C31" s="5" t="s">
        <v>139</v>
      </c>
      <c r="D31" s="5" t="s">
        <v>106</v>
      </c>
      <c r="E31" s="6" t="n">
        <f aca="false">SUMPRODUCT(('Datos Revit'!$B$13:$B$23+2*Supuestos!$B$20),'Datos Revit'!D$13:D$23)+SUMPRODUCT(('Datos Revit'!$B$29:$B$32+2*Supuestos!$B$20),'Datos Revit'!D$29:D$32)</f>
        <v>18.075</v>
      </c>
      <c r="F31" s="6" t="n">
        <f aca="false">SUMPRODUCT(('Datos Revit'!$B$13:$B$23+2*Supuestos!$B$20),'Datos Revit'!E$13:E$23)+SUMPRODUCT(('Datos Revit'!$B$29:$B$32+2*Supuestos!$B$20),'Datos Revit'!E$29:E$32)</f>
        <v>14.52</v>
      </c>
      <c r="G31" s="6" t="n">
        <f aca="false">SUMPRODUCT(('Datos Revit'!$B$13:$B$23+2*Supuestos!$B$20),'Datos Revit'!F$13:F$23)+SUMPRODUCT(('Datos Revit'!$B$29:$B$32+2*Supuestos!$B$20),'Datos Revit'!F$29:F$32)</f>
        <v>21.41</v>
      </c>
      <c r="H31" s="6" t="n">
        <f aca="false">SUMPRODUCT(('Datos Revit'!$B$13:$B$23+2*Supuestos!$B$20),'Datos Revit'!G$13:G$23)+SUMPRODUCT(('Datos Revit'!$B$29:$B$32+2*Supuestos!$B$20),'Datos Revit'!G$29:G$32)</f>
        <v>21.41</v>
      </c>
      <c r="I31" s="6" t="n">
        <f aca="false">SUMPRODUCT(('Datos Revit'!$B$13:$B$23+2*Supuestos!$B$20),'Datos Revit'!H$13:H$23)+SUMPRODUCT(('Datos Revit'!$B$29:$B$32+2*Supuestos!$B$20),'Datos Revit'!H$29:H$32)</f>
        <v>21.41</v>
      </c>
      <c r="J31" s="14" t="n">
        <f aca="false">SUM(E31:I31)</f>
        <v>96.825</v>
      </c>
      <c r="K31" s="11" t="s">
        <v>62</v>
      </c>
      <c r="L31" s="5" t="s">
        <v>140</v>
      </c>
    </row>
    <row r="32" customFormat="false" ht="15" hidden="false" customHeight="false" outlineLevel="0" collapsed="false">
      <c r="A32" s="9" t="s">
        <v>141</v>
      </c>
      <c r="B32" s="9" t="s">
        <v>142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" hidden="false" customHeight="false" outlineLevel="0" collapsed="false">
      <c r="A33" s="5" t="s">
        <v>143</v>
      </c>
      <c r="B33" s="5" t="s">
        <v>144</v>
      </c>
      <c r="C33" s="5" t="s">
        <v>145</v>
      </c>
      <c r="D33" s="5" t="s">
        <v>7</v>
      </c>
      <c r="E33" s="6" t="n">
        <f aca="false">'Datos Revit'!C6</f>
        <v>128.03</v>
      </c>
      <c r="F33" s="6" t="n">
        <f aca="false">'Datos Revit'!D6</f>
        <v>110.53</v>
      </c>
      <c r="G33" s="6" t="n">
        <f aca="false">'Datos Revit'!E6</f>
        <v>109.91</v>
      </c>
      <c r="H33" s="6" t="n">
        <f aca="false">'Datos Revit'!F6</f>
        <v>110.04</v>
      </c>
      <c r="I33" s="6" t="n">
        <f aca="false">'Datos Revit'!G6</f>
        <v>108.3</v>
      </c>
      <c r="J33" s="14" t="n">
        <f aca="false">SUM(E33:I33)</f>
        <v>566.81</v>
      </c>
      <c r="K33" s="11" t="s">
        <v>118</v>
      </c>
      <c r="L33" s="5" t="s">
        <v>146</v>
      </c>
    </row>
    <row r="34" customFormat="false" ht="15" hidden="false" customHeight="false" outlineLevel="0" collapsed="false">
      <c r="A34" s="5" t="s">
        <v>147</v>
      </c>
      <c r="B34" s="5" t="s">
        <v>148</v>
      </c>
      <c r="C34" s="5" t="s">
        <v>149</v>
      </c>
      <c r="D34" s="5" t="s">
        <v>22</v>
      </c>
      <c r="E34" s="16" t="n">
        <f aca="false">E33*Supuestos!$B$12</f>
        <v>5.1212</v>
      </c>
      <c r="F34" s="16" t="n">
        <f aca="false">F33*Supuestos!$B$12</f>
        <v>4.4212</v>
      </c>
      <c r="G34" s="16" t="n">
        <f aca="false">G33*Supuestos!$B$12</f>
        <v>4.3964</v>
      </c>
      <c r="H34" s="16" t="n">
        <f aca="false">H33*Supuestos!$B$12</f>
        <v>4.4016</v>
      </c>
      <c r="I34" s="16" t="n">
        <f aca="false">I33*Supuestos!$B$12</f>
        <v>4.332</v>
      </c>
      <c r="J34" s="17" t="n">
        <f aca="false">SUM(E34:I34)</f>
        <v>22.6724</v>
      </c>
      <c r="K34" s="11" t="s">
        <v>62</v>
      </c>
      <c r="L34" s="5"/>
    </row>
    <row r="35" customFormat="false" ht="23.85" hidden="false" customHeight="false" outlineLevel="0" collapsed="false">
      <c r="A35" s="5" t="s">
        <v>150</v>
      </c>
      <c r="B35" s="5" t="s">
        <v>151</v>
      </c>
      <c r="C35" s="5" t="s">
        <v>152</v>
      </c>
      <c r="D35" s="5" t="s">
        <v>7</v>
      </c>
      <c r="E35" s="18" t="n">
        <f aca="false">E33</f>
        <v>128.03</v>
      </c>
      <c r="F35" s="18" t="n">
        <f aca="false">F33</f>
        <v>110.53</v>
      </c>
      <c r="G35" s="18" t="n">
        <f aca="false">G33</f>
        <v>109.91</v>
      </c>
      <c r="H35" s="18" t="n">
        <f aca="false">H33</f>
        <v>110.04</v>
      </c>
      <c r="I35" s="18" t="n">
        <f aca="false">I33</f>
        <v>108.3</v>
      </c>
      <c r="J35" s="14" t="n">
        <f aca="false">SUM(E35:I35)</f>
        <v>566.81</v>
      </c>
      <c r="K35" s="11" t="s">
        <v>153</v>
      </c>
      <c r="L35" s="5" t="s">
        <v>154</v>
      </c>
    </row>
    <row r="36" customFormat="false" ht="23.85" hidden="false" customHeight="false" outlineLevel="0" collapsed="false">
      <c r="A36" s="5" t="s">
        <v>155</v>
      </c>
      <c r="B36" s="5" t="s">
        <v>156</v>
      </c>
      <c r="C36" s="5" t="s">
        <v>157</v>
      </c>
      <c r="D36" s="5" t="s">
        <v>7</v>
      </c>
      <c r="E36" s="6" t="n">
        <f aca="false">'Datos Revit'!C7</f>
        <v>37.09</v>
      </c>
      <c r="F36" s="6" t="n">
        <f aca="false">'Datos Revit'!D7</f>
        <v>0</v>
      </c>
      <c r="G36" s="6" t="n">
        <f aca="false">'Datos Revit'!E7</f>
        <v>0</v>
      </c>
      <c r="H36" s="6" t="n">
        <f aca="false">'Datos Revit'!F7</f>
        <v>0</v>
      </c>
      <c r="I36" s="6" t="n">
        <f aca="false">'Datos Revit'!G7</f>
        <v>0</v>
      </c>
      <c r="J36" s="14" t="n">
        <f aca="false">SUM(E36:I36)</f>
        <v>37.09</v>
      </c>
      <c r="K36" s="11" t="s">
        <v>118</v>
      </c>
      <c r="L36" s="5"/>
    </row>
    <row r="37" customFormat="false" ht="15" hidden="false" customHeight="false" outlineLevel="0" collapsed="false">
      <c r="A37" s="9" t="s">
        <v>158</v>
      </c>
      <c r="B37" s="9" t="s">
        <v>159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23.85" hidden="false" customHeight="false" outlineLevel="0" collapsed="false">
      <c r="A38" s="5" t="s">
        <v>160</v>
      </c>
      <c r="B38" s="5" t="s">
        <v>161</v>
      </c>
      <c r="C38" s="5" t="s">
        <v>162</v>
      </c>
      <c r="D38" s="5" t="s">
        <v>7</v>
      </c>
      <c r="E38" s="18" t="n">
        <f aca="false">E33</f>
        <v>128.03</v>
      </c>
      <c r="F38" s="18" t="n">
        <f aca="false">F33</f>
        <v>110.53</v>
      </c>
      <c r="G38" s="18" t="n">
        <f aca="false">G33</f>
        <v>109.91</v>
      </c>
      <c r="H38" s="18" t="n">
        <f aca="false">H33</f>
        <v>110.04</v>
      </c>
      <c r="I38" s="18" t="n">
        <f aca="false">I33</f>
        <v>108.3</v>
      </c>
      <c r="J38" s="14" t="n">
        <f aca="false">SUM(E38:I38)</f>
        <v>566.81</v>
      </c>
      <c r="K38" s="11" t="s">
        <v>163</v>
      </c>
      <c r="L38" s="5" t="s">
        <v>164</v>
      </c>
    </row>
    <row r="39" customFormat="false" ht="15" hidden="false" customHeight="false" outlineLevel="0" collapsed="false">
      <c r="A39" s="9" t="s">
        <v>165</v>
      </c>
      <c r="B39" s="9" t="s">
        <v>166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23.85" hidden="false" customHeight="false" outlineLevel="0" collapsed="false">
      <c r="A40" s="5" t="s">
        <v>167</v>
      </c>
      <c r="B40" s="5" t="s">
        <v>168</v>
      </c>
      <c r="C40" s="5" t="s">
        <v>169</v>
      </c>
      <c r="D40" s="5" t="s">
        <v>15</v>
      </c>
      <c r="E40" s="7" t="n">
        <f aca="false">'Datos Revit'!D13</f>
        <v>1</v>
      </c>
      <c r="F40" s="7" t="n">
        <f aca="false">'Datos Revit'!E13</f>
        <v>0</v>
      </c>
      <c r="G40" s="7" t="n">
        <f aca="false">'Datos Revit'!F13</f>
        <v>0</v>
      </c>
      <c r="H40" s="7" t="n">
        <f aca="false">'Datos Revit'!G13</f>
        <v>0</v>
      </c>
      <c r="I40" s="7" t="n">
        <f aca="false">'Datos Revit'!H13</f>
        <v>0</v>
      </c>
      <c r="J40" s="15" t="n">
        <f aca="false">SUM(E40:I40)</f>
        <v>1</v>
      </c>
      <c r="K40" s="11" t="s">
        <v>118</v>
      </c>
      <c r="L40" s="5"/>
    </row>
    <row r="41" customFormat="false" ht="23.85" hidden="false" customHeight="false" outlineLevel="0" collapsed="false">
      <c r="A41" s="5" t="s">
        <v>170</v>
      </c>
      <c r="B41" s="5" t="s">
        <v>171</v>
      </c>
      <c r="C41" s="5" t="s">
        <v>172</v>
      </c>
      <c r="D41" s="5" t="s">
        <v>15</v>
      </c>
      <c r="E41" s="7" t="n">
        <f aca="false">'Datos Revit'!D14</f>
        <v>1</v>
      </c>
      <c r="F41" s="7" t="n">
        <f aca="false">'Datos Revit'!E14</f>
        <v>0</v>
      </c>
      <c r="G41" s="7" t="n">
        <f aca="false">'Datos Revit'!F14</f>
        <v>0</v>
      </c>
      <c r="H41" s="7" t="n">
        <f aca="false">'Datos Revit'!G14</f>
        <v>0</v>
      </c>
      <c r="I41" s="7" t="n">
        <f aca="false">'Datos Revit'!H14</f>
        <v>0</v>
      </c>
      <c r="J41" s="15" t="n">
        <f aca="false">SUM(E41:I41)</f>
        <v>1</v>
      </c>
      <c r="K41" s="11" t="s">
        <v>118</v>
      </c>
      <c r="L41" s="5"/>
    </row>
    <row r="42" customFormat="false" ht="23.85" hidden="false" customHeight="false" outlineLevel="0" collapsed="false">
      <c r="A42" s="5" t="s">
        <v>173</v>
      </c>
      <c r="B42" s="5" t="s">
        <v>174</v>
      </c>
      <c r="C42" s="5" t="s">
        <v>172</v>
      </c>
      <c r="D42" s="5" t="s">
        <v>15</v>
      </c>
      <c r="E42" s="7" t="n">
        <f aca="false">'Datos Revit'!D15</f>
        <v>1</v>
      </c>
      <c r="F42" s="7" t="n">
        <f aca="false">'Datos Revit'!E15</f>
        <v>0</v>
      </c>
      <c r="G42" s="7" t="n">
        <f aca="false">'Datos Revit'!F15</f>
        <v>0</v>
      </c>
      <c r="H42" s="7" t="n">
        <f aca="false">'Datos Revit'!G15</f>
        <v>0</v>
      </c>
      <c r="I42" s="7" t="n">
        <f aca="false">'Datos Revit'!H15</f>
        <v>0</v>
      </c>
      <c r="J42" s="15" t="n">
        <f aca="false">SUM(E42:I42)</f>
        <v>1</v>
      </c>
      <c r="K42" s="11" t="s">
        <v>118</v>
      </c>
      <c r="L42" s="5"/>
    </row>
    <row r="43" customFormat="false" ht="23.85" hidden="false" customHeight="false" outlineLevel="0" collapsed="false">
      <c r="A43" s="5" t="s">
        <v>175</v>
      </c>
      <c r="B43" s="5" t="s">
        <v>176</v>
      </c>
      <c r="C43" s="5" t="s">
        <v>177</v>
      </c>
      <c r="D43" s="5" t="s">
        <v>15</v>
      </c>
      <c r="E43" s="7" t="n">
        <f aca="false">'Datos Revit'!D16</f>
        <v>1</v>
      </c>
      <c r="F43" s="7" t="n">
        <f aca="false">'Datos Revit'!E16</f>
        <v>0</v>
      </c>
      <c r="G43" s="7" t="n">
        <f aca="false">'Datos Revit'!F16</f>
        <v>0</v>
      </c>
      <c r="H43" s="7" t="n">
        <f aca="false">'Datos Revit'!G16</f>
        <v>0</v>
      </c>
      <c r="I43" s="7" t="n">
        <f aca="false">'Datos Revit'!H16</f>
        <v>0</v>
      </c>
      <c r="J43" s="15" t="n">
        <f aca="false">SUM(E43:I43)</f>
        <v>1</v>
      </c>
      <c r="K43" s="11" t="s">
        <v>118</v>
      </c>
      <c r="L43" s="5"/>
    </row>
    <row r="44" customFormat="false" ht="23.85" hidden="false" customHeight="false" outlineLevel="0" collapsed="false">
      <c r="A44" s="5" t="s">
        <v>178</v>
      </c>
      <c r="B44" s="5" t="s">
        <v>179</v>
      </c>
      <c r="C44" s="5" t="s">
        <v>180</v>
      </c>
      <c r="D44" s="5" t="s">
        <v>15</v>
      </c>
      <c r="E44" s="7" t="n">
        <f aca="false">'Datos Revit'!D17</f>
        <v>3</v>
      </c>
      <c r="F44" s="7" t="n">
        <f aca="false">'Datos Revit'!E17</f>
        <v>0</v>
      </c>
      <c r="G44" s="7" t="n">
        <f aca="false">'Datos Revit'!F17</f>
        <v>0</v>
      </c>
      <c r="H44" s="7" t="n">
        <f aca="false">'Datos Revit'!G17</f>
        <v>0</v>
      </c>
      <c r="I44" s="7" t="n">
        <f aca="false">'Datos Revit'!H17</f>
        <v>0</v>
      </c>
      <c r="J44" s="15" t="n">
        <f aca="false">SUM(E44:I44)</f>
        <v>3</v>
      </c>
      <c r="K44" s="11" t="s">
        <v>118</v>
      </c>
      <c r="L44" s="5"/>
    </row>
    <row r="45" customFormat="false" ht="23.85" hidden="false" customHeight="false" outlineLevel="0" collapsed="false">
      <c r="A45" s="5" t="s">
        <v>181</v>
      </c>
      <c r="B45" s="5" t="s">
        <v>182</v>
      </c>
      <c r="C45" s="5" t="s">
        <v>180</v>
      </c>
      <c r="D45" s="5" t="s">
        <v>15</v>
      </c>
      <c r="E45" s="7" t="n">
        <f aca="false">'Datos Revit'!D18</f>
        <v>0</v>
      </c>
      <c r="F45" s="7" t="n">
        <f aca="false">'Datos Revit'!E18</f>
        <v>3</v>
      </c>
      <c r="G45" s="7" t="n">
        <f aca="false">'Datos Revit'!F18</f>
        <v>2</v>
      </c>
      <c r="H45" s="7" t="n">
        <f aca="false">'Datos Revit'!G18</f>
        <v>2</v>
      </c>
      <c r="I45" s="7" t="n">
        <f aca="false">'Datos Revit'!H18</f>
        <v>2</v>
      </c>
      <c r="J45" s="15" t="n">
        <f aca="false">SUM(E45:I45)</f>
        <v>9</v>
      </c>
      <c r="K45" s="11" t="s">
        <v>118</v>
      </c>
      <c r="L45" s="5"/>
    </row>
    <row r="46" customFormat="false" ht="23.85" hidden="false" customHeight="false" outlineLevel="0" collapsed="false">
      <c r="A46" s="5" t="s">
        <v>183</v>
      </c>
      <c r="B46" s="5" t="s">
        <v>184</v>
      </c>
      <c r="C46" s="5" t="s">
        <v>185</v>
      </c>
      <c r="D46" s="5" t="s">
        <v>15</v>
      </c>
      <c r="E46" s="7" t="n">
        <f aca="false">'Datos Revit'!D19</f>
        <v>2</v>
      </c>
      <c r="F46" s="7" t="n">
        <f aca="false">'Datos Revit'!E19</f>
        <v>1</v>
      </c>
      <c r="G46" s="7" t="n">
        <f aca="false">'Datos Revit'!F19</f>
        <v>0</v>
      </c>
      <c r="H46" s="7" t="n">
        <f aca="false">'Datos Revit'!G19</f>
        <v>0</v>
      </c>
      <c r="I46" s="7" t="n">
        <f aca="false">'Datos Revit'!H19</f>
        <v>0</v>
      </c>
      <c r="J46" s="15" t="n">
        <f aca="false">SUM(E46:I46)</f>
        <v>3</v>
      </c>
      <c r="K46" s="11" t="s">
        <v>118</v>
      </c>
      <c r="L46" s="5"/>
    </row>
    <row r="47" customFormat="false" ht="23.85" hidden="false" customHeight="false" outlineLevel="0" collapsed="false">
      <c r="A47" s="5" t="s">
        <v>186</v>
      </c>
      <c r="B47" s="5" t="s">
        <v>187</v>
      </c>
      <c r="C47" s="5" t="s">
        <v>185</v>
      </c>
      <c r="D47" s="5" t="s">
        <v>15</v>
      </c>
      <c r="E47" s="7" t="n">
        <f aca="false">'Datos Revit'!D20</f>
        <v>2</v>
      </c>
      <c r="F47" s="7" t="n">
        <f aca="false">'Datos Revit'!E20</f>
        <v>0</v>
      </c>
      <c r="G47" s="7" t="n">
        <f aca="false">'Datos Revit'!F20</f>
        <v>3</v>
      </c>
      <c r="H47" s="7" t="n">
        <f aca="false">'Datos Revit'!G20</f>
        <v>3</v>
      </c>
      <c r="I47" s="7" t="n">
        <f aca="false">'Datos Revit'!H20</f>
        <v>3</v>
      </c>
      <c r="J47" s="15" t="n">
        <f aca="false">SUM(E47:I47)</f>
        <v>11</v>
      </c>
      <c r="K47" s="11" t="s">
        <v>118</v>
      </c>
      <c r="L47" s="5"/>
    </row>
    <row r="48" customFormat="false" ht="23.85" hidden="false" customHeight="false" outlineLevel="0" collapsed="false">
      <c r="A48" s="5" t="s">
        <v>188</v>
      </c>
      <c r="B48" s="5" t="s">
        <v>189</v>
      </c>
      <c r="C48" s="5" t="s">
        <v>190</v>
      </c>
      <c r="D48" s="5" t="s">
        <v>15</v>
      </c>
      <c r="E48" s="7" t="n">
        <f aca="false">'Datos Revit'!D21</f>
        <v>0</v>
      </c>
      <c r="F48" s="7" t="n">
        <f aca="false">'Datos Revit'!E21</f>
        <v>1</v>
      </c>
      <c r="G48" s="7" t="n">
        <f aca="false">'Datos Revit'!F21</f>
        <v>1</v>
      </c>
      <c r="H48" s="7" t="n">
        <f aca="false">'Datos Revit'!G21</f>
        <v>1</v>
      </c>
      <c r="I48" s="7" t="n">
        <f aca="false">'Datos Revit'!H21</f>
        <v>1</v>
      </c>
      <c r="J48" s="15" t="n">
        <f aca="false">SUM(E48:I48)</f>
        <v>4</v>
      </c>
      <c r="K48" s="11" t="s">
        <v>118</v>
      </c>
      <c r="L48" s="5"/>
    </row>
    <row r="49" customFormat="false" ht="23.85" hidden="false" customHeight="false" outlineLevel="0" collapsed="false">
      <c r="A49" s="5" t="s">
        <v>191</v>
      </c>
      <c r="B49" s="5" t="s">
        <v>192</v>
      </c>
      <c r="C49" s="5" t="s">
        <v>172</v>
      </c>
      <c r="D49" s="5" t="s">
        <v>15</v>
      </c>
      <c r="E49" s="7" t="n">
        <f aca="false">'Datos Revit'!D22</f>
        <v>0</v>
      </c>
      <c r="F49" s="7" t="n">
        <f aca="false">'Datos Revit'!E22</f>
        <v>1</v>
      </c>
      <c r="G49" s="7" t="n">
        <f aca="false">'Datos Revit'!F22</f>
        <v>0</v>
      </c>
      <c r="H49" s="7" t="n">
        <f aca="false">'Datos Revit'!G22</f>
        <v>0</v>
      </c>
      <c r="I49" s="7" t="n">
        <f aca="false">'Datos Revit'!H22</f>
        <v>0</v>
      </c>
      <c r="J49" s="15" t="n">
        <f aca="false">SUM(E49:I49)</f>
        <v>1</v>
      </c>
      <c r="K49" s="11" t="s">
        <v>118</v>
      </c>
      <c r="L49" s="5"/>
    </row>
    <row r="50" customFormat="false" ht="23.85" hidden="false" customHeight="false" outlineLevel="0" collapsed="false">
      <c r="A50" s="5" t="s">
        <v>193</v>
      </c>
      <c r="B50" s="5" t="s">
        <v>194</v>
      </c>
      <c r="C50" s="5" t="s">
        <v>177</v>
      </c>
      <c r="D50" s="5" t="s">
        <v>15</v>
      </c>
      <c r="E50" s="7" t="n">
        <f aca="false">'Datos Revit'!D23</f>
        <v>0</v>
      </c>
      <c r="F50" s="7" t="n">
        <f aca="false">'Datos Revit'!E23</f>
        <v>0</v>
      </c>
      <c r="G50" s="7" t="n">
        <f aca="false">'Datos Revit'!F23</f>
        <v>1</v>
      </c>
      <c r="H50" s="7" t="n">
        <f aca="false">'Datos Revit'!G23</f>
        <v>1</v>
      </c>
      <c r="I50" s="7" t="n">
        <f aca="false">'Datos Revit'!H23</f>
        <v>1</v>
      </c>
      <c r="J50" s="15" t="n">
        <f aca="false">SUM(E50:I50)</f>
        <v>3</v>
      </c>
      <c r="K50" s="11" t="s">
        <v>118</v>
      </c>
      <c r="L50" s="5"/>
    </row>
    <row r="51" customFormat="false" ht="23.85" hidden="false" customHeight="false" outlineLevel="0" collapsed="false">
      <c r="A51" s="5" t="s">
        <v>195</v>
      </c>
      <c r="B51" s="5" t="s">
        <v>196</v>
      </c>
      <c r="C51" s="5" t="s">
        <v>197</v>
      </c>
      <c r="D51" s="5" t="s">
        <v>15</v>
      </c>
      <c r="E51" s="7" t="n">
        <f aca="false">'Datos Revit'!D24</f>
        <v>0</v>
      </c>
      <c r="F51" s="7" t="n">
        <f aca="false">'Datos Revit'!E24</f>
        <v>1</v>
      </c>
      <c r="G51" s="7" t="n">
        <f aca="false">'Datos Revit'!F24</f>
        <v>1</v>
      </c>
      <c r="H51" s="7" t="n">
        <f aca="false">'Datos Revit'!G24</f>
        <v>1</v>
      </c>
      <c r="I51" s="7" t="n">
        <f aca="false">'Datos Revit'!H24</f>
        <v>1</v>
      </c>
      <c r="J51" s="15" t="n">
        <f aca="false">SUM(E51:I51)</f>
        <v>4</v>
      </c>
      <c r="K51" s="11" t="s">
        <v>118</v>
      </c>
      <c r="L51" s="5"/>
    </row>
    <row r="52" customFormat="false" ht="15" hidden="false" customHeight="false" outlineLevel="0" collapsed="false">
      <c r="A52" s="9" t="s">
        <v>198</v>
      </c>
      <c r="B52" s="9" t="s">
        <v>199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23.85" hidden="false" customHeight="false" outlineLevel="0" collapsed="false">
      <c r="A53" s="5" t="s">
        <v>200</v>
      </c>
      <c r="B53" s="5" t="s">
        <v>201</v>
      </c>
      <c r="C53" s="5" t="s">
        <v>202</v>
      </c>
      <c r="D53" s="5" t="s">
        <v>15</v>
      </c>
      <c r="E53" s="7" t="n">
        <f aca="false">'Datos Revit'!D29</f>
        <v>0</v>
      </c>
      <c r="F53" s="7" t="n">
        <f aca="false">'Datos Revit'!E29</f>
        <v>3</v>
      </c>
      <c r="G53" s="7" t="n">
        <f aca="false">'Datos Revit'!F29</f>
        <v>8</v>
      </c>
      <c r="H53" s="7" t="n">
        <f aca="false">'Datos Revit'!G29</f>
        <v>8</v>
      </c>
      <c r="I53" s="7" t="n">
        <f aca="false">'Datos Revit'!H29</f>
        <v>8</v>
      </c>
      <c r="J53" s="15" t="n">
        <f aca="false">SUM(E53:I53)</f>
        <v>27</v>
      </c>
      <c r="K53" s="11" t="s">
        <v>118</v>
      </c>
      <c r="L53" s="5"/>
    </row>
    <row r="54" customFormat="false" ht="23.85" hidden="false" customHeight="false" outlineLevel="0" collapsed="false">
      <c r="A54" s="5" t="s">
        <v>203</v>
      </c>
      <c r="B54" s="5" t="s">
        <v>204</v>
      </c>
      <c r="C54" s="5" t="s">
        <v>205</v>
      </c>
      <c r="D54" s="5" t="s">
        <v>15</v>
      </c>
      <c r="E54" s="7" t="n">
        <f aca="false">'Datos Revit'!D30</f>
        <v>0</v>
      </c>
      <c r="F54" s="7" t="n">
        <f aca="false">'Datos Revit'!E30</f>
        <v>2</v>
      </c>
      <c r="G54" s="7" t="n">
        <f aca="false">'Datos Revit'!F30</f>
        <v>1</v>
      </c>
      <c r="H54" s="7" t="n">
        <f aca="false">'Datos Revit'!G30</f>
        <v>1</v>
      </c>
      <c r="I54" s="7" t="n">
        <f aca="false">'Datos Revit'!H30</f>
        <v>1</v>
      </c>
      <c r="J54" s="15" t="n">
        <f aca="false">SUM(E54:I54)</f>
        <v>5</v>
      </c>
      <c r="K54" s="11" t="s">
        <v>118</v>
      </c>
      <c r="L54" s="5"/>
    </row>
    <row r="55" customFormat="false" ht="23.85" hidden="false" customHeight="false" outlineLevel="0" collapsed="false">
      <c r="A55" s="5" t="s">
        <v>206</v>
      </c>
      <c r="B55" s="5" t="s">
        <v>207</v>
      </c>
      <c r="C55" s="5" t="s">
        <v>208</v>
      </c>
      <c r="D55" s="5" t="s">
        <v>15</v>
      </c>
      <c r="E55" s="7" t="n">
        <f aca="false">'Datos Revit'!D31</f>
        <v>0</v>
      </c>
      <c r="F55" s="7" t="n">
        <f aca="false">'Datos Revit'!E31</f>
        <v>1</v>
      </c>
      <c r="G55" s="7" t="n">
        <f aca="false">'Datos Revit'!F31</f>
        <v>1</v>
      </c>
      <c r="H55" s="7" t="n">
        <f aca="false">'Datos Revit'!G31</f>
        <v>1</v>
      </c>
      <c r="I55" s="7" t="n">
        <f aca="false">'Datos Revit'!H31</f>
        <v>1</v>
      </c>
      <c r="J55" s="15" t="n">
        <f aca="false">SUM(E55:I55)</f>
        <v>4</v>
      </c>
      <c r="K55" s="11" t="s">
        <v>118</v>
      </c>
      <c r="L55" s="5"/>
    </row>
    <row r="56" customFormat="false" ht="23.85" hidden="false" customHeight="false" outlineLevel="0" collapsed="false">
      <c r="A56" s="5" t="s">
        <v>209</v>
      </c>
      <c r="B56" s="5" t="s">
        <v>210</v>
      </c>
      <c r="C56" s="5" t="s">
        <v>208</v>
      </c>
      <c r="D56" s="5" t="s">
        <v>15</v>
      </c>
      <c r="E56" s="7" t="n">
        <f aca="false">'Datos Revit'!D32</f>
        <v>2</v>
      </c>
      <c r="F56" s="7" t="n">
        <f aca="false">'Datos Revit'!E32</f>
        <v>0</v>
      </c>
      <c r="G56" s="7" t="n">
        <f aca="false">'Datos Revit'!F32</f>
        <v>0</v>
      </c>
      <c r="H56" s="7" t="n">
        <f aca="false">'Datos Revit'!G32</f>
        <v>0</v>
      </c>
      <c r="I56" s="7" t="n">
        <f aca="false">'Datos Revit'!H32</f>
        <v>0</v>
      </c>
      <c r="J56" s="15" t="n">
        <f aca="false">SUM(E56:I56)</f>
        <v>2</v>
      </c>
      <c r="K56" s="11" t="s">
        <v>118</v>
      </c>
      <c r="L56" s="5"/>
    </row>
    <row r="57" customFormat="false" ht="23.85" hidden="false" customHeight="false" outlineLevel="0" collapsed="false">
      <c r="A57" s="5" t="s">
        <v>211</v>
      </c>
      <c r="B57" s="5" t="s">
        <v>212</v>
      </c>
      <c r="C57" s="5" t="s">
        <v>213</v>
      </c>
      <c r="D57" s="5" t="s">
        <v>7</v>
      </c>
      <c r="E57" s="6" t="n">
        <f aca="false">SUMPRODUCT('Datos Revit'!$B$29:$B$32,'Datos Revit'!$C$29:$C$32,'Datos Revit'!D$29:D$32)</f>
        <v>2.992</v>
      </c>
      <c r="F57" s="6" t="n">
        <f aca="false">SUMPRODUCT('Datos Revit'!$B$29:$B$32,'Datos Revit'!$C$29:$C$32,'Datos Revit'!E$29:E$32)</f>
        <v>5.7452</v>
      </c>
      <c r="G57" s="6" t="n">
        <f aca="false">SUMPRODUCT('Datos Revit'!$B$29:$B$32,'Datos Revit'!$C$29:$C$32,'Datos Revit'!F$29:F$32)</f>
        <v>8.1171</v>
      </c>
      <c r="H57" s="6" t="n">
        <f aca="false">SUMPRODUCT('Datos Revit'!$B$29:$B$32,'Datos Revit'!$C$29:$C$32,'Datos Revit'!G$29:G$32)</f>
        <v>8.1171</v>
      </c>
      <c r="I57" s="6" t="n">
        <f aca="false">SUMPRODUCT('Datos Revit'!$B$29:$B$32,'Datos Revit'!$C$29:$C$32,'Datos Revit'!H$29:H$32)</f>
        <v>8.1171</v>
      </c>
      <c r="J57" s="14" t="n">
        <f aca="false">SUM(E57:I57)</f>
        <v>33.0885</v>
      </c>
      <c r="K57" s="11" t="s">
        <v>62</v>
      </c>
      <c r="L57" s="5" t="s">
        <v>214</v>
      </c>
    </row>
    <row r="58" customFormat="false" ht="23.85" hidden="false" customHeight="false" outlineLevel="0" collapsed="false">
      <c r="A58" s="5" t="s">
        <v>215</v>
      </c>
      <c r="B58" s="5" t="s">
        <v>216</v>
      </c>
      <c r="C58" s="5" t="s">
        <v>217</v>
      </c>
      <c r="D58" s="5" t="s">
        <v>7</v>
      </c>
      <c r="E58" s="6" t="n">
        <f aca="false">'Datos Revit'!$B$23*'Datos Revit'!$C$23*'Datos Revit'!D23+'Datos Revit'!$B$16*'Datos Revit'!$C$16*'Datos Revit'!D16</f>
        <v>2.52</v>
      </c>
      <c r="F58" s="6" t="n">
        <f aca="false">'Datos Revit'!$B$23*'Datos Revit'!$C$23*'Datos Revit'!E23+'Datos Revit'!$B$16*'Datos Revit'!$C$16*'Datos Revit'!E16</f>
        <v>0</v>
      </c>
      <c r="G58" s="6" t="n">
        <f aca="false">'Datos Revit'!$B$23*'Datos Revit'!$C$23*'Datos Revit'!F23+'Datos Revit'!$B$16*'Datos Revit'!$C$16*'Datos Revit'!F16</f>
        <v>3.68</v>
      </c>
      <c r="H58" s="6" t="n">
        <f aca="false">'Datos Revit'!$B$23*'Datos Revit'!$C$23*'Datos Revit'!G23+'Datos Revit'!$B$16*'Datos Revit'!$C$16*'Datos Revit'!G16</f>
        <v>3.68</v>
      </c>
      <c r="I58" s="6" t="n">
        <f aca="false">'Datos Revit'!$B$23*'Datos Revit'!$C$23*'Datos Revit'!H23+'Datos Revit'!$B$16*'Datos Revit'!$C$16*'Datos Revit'!H16</f>
        <v>3.68</v>
      </c>
      <c r="J58" s="14" t="n">
        <f aca="false">SUM(E58:I58)</f>
        <v>13.56</v>
      </c>
      <c r="K58" s="11" t="s">
        <v>62</v>
      </c>
      <c r="L58" s="5"/>
    </row>
    <row r="59" customFormat="false" ht="23.85" hidden="false" customHeight="false" outlineLevel="0" collapsed="false">
      <c r="A59" s="5" t="s">
        <v>218</v>
      </c>
      <c r="B59" s="5" t="s">
        <v>219</v>
      </c>
      <c r="C59" s="5" t="s">
        <v>220</v>
      </c>
      <c r="D59" s="5" t="s">
        <v>106</v>
      </c>
      <c r="E59" s="6" t="n">
        <f aca="false">SUMPRODUCT('Datos Revit'!$B$29:$B$30,'Datos Revit'!D$29:D$30)</f>
        <v>0</v>
      </c>
      <c r="F59" s="6" t="n">
        <f aca="false">SUMPRODUCT('Datos Revit'!$B$29:$B$30,'Datos Revit'!E$29:E$30)</f>
        <v>4.22</v>
      </c>
      <c r="G59" s="6" t="n">
        <f aca="false">SUMPRODUCT('Datos Revit'!$B$29:$B$30,'Datos Revit'!F$29:F$30)</f>
        <v>7.31</v>
      </c>
      <c r="H59" s="6" t="n">
        <f aca="false">SUMPRODUCT('Datos Revit'!$B$29:$B$30,'Datos Revit'!G$29:G$30)</f>
        <v>7.31</v>
      </c>
      <c r="I59" s="6" t="n">
        <f aca="false">SUMPRODUCT('Datos Revit'!$B$29:$B$30,'Datos Revit'!H$29:H$30)</f>
        <v>7.31</v>
      </c>
      <c r="J59" s="14" t="n">
        <f aca="false">SUM(E59:I59)</f>
        <v>26.15</v>
      </c>
      <c r="K59" s="11" t="s">
        <v>62</v>
      </c>
      <c r="L59" s="5" t="s">
        <v>221</v>
      </c>
    </row>
    <row r="60" customFormat="false" ht="15" hidden="false" customHeight="false" outlineLevel="0" collapsed="false">
      <c r="A60" s="9" t="s">
        <v>222</v>
      </c>
      <c r="B60" s="9" t="s">
        <v>223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customFormat="false" ht="23.85" hidden="false" customHeight="false" outlineLevel="0" collapsed="false">
      <c r="A61" s="5" t="s">
        <v>224</v>
      </c>
      <c r="B61" s="5" t="s">
        <v>225</v>
      </c>
      <c r="C61" s="5" t="s">
        <v>226</v>
      </c>
      <c r="D61" s="5" t="s">
        <v>15</v>
      </c>
      <c r="E61" s="7" t="n">
        <f aca="false">'Datos Revit'!D37</f>
        <v>2</v>
      </c>
      <c r="F61" s="7" t="n">
        <f aca="false">'Datos Revit'!E37</f>
        <v>3</v>
      </c>
      <c r="G61" s="7" t="n">
        <f aca="false">'Datos Revit'!F37</f>
        <v>3</v>
      </c>
      <c r="H61" s="7" t="n">
        <f aca="false">'Datos Revit'!G37</f>
        <v>3</v>
      </c>
      <c r="I61" s="7" t="n">
        <f aca="false">'Datos Revit'!H37</f>
        <v>3</v>
      </c>
      <c r="J61" s="15" t="n">
        <f aca="false">SUM(E61:I61)</f>
        <v>14</v>
      </c>
      <c r="K61" s="11" t="s">
        <v>118</v>
      </c>
      <c r="L61" s="5"/>
    </row>
    <row r="62" customFormat="false" ht="23.85" hidden="false" customHeight="false" outlineLevel="0" collapsed="false">
      <c r="A62" s="5" t="s">
        <v>227</v>
      </c>
      <c r="B62" s="5" t="s">
        <v>228</v>
      </c>
      <c r="C62" s="5" t="s">
        <v>229</v>
      </c>
      <c r="D62" s="5" t="s">
        <v>15</v>
      </c>
      <c r="E62" s="7" t="n">
        <f aca="false">'Datos Revit'!D38</f>
        <v>0</v>
      </c>
      <c r="F62" s="7" t="n">
        <f aca="false">'Datos Revit'!E38</f>
        <v>3</v>
      </c>
      <c r="G62" s="7" t="n">
        <f aca="false">'Datos Revit'!F38</f>
        <v>3</v>
      </c>
      <c r="H62" s="7" t="n">
        <f aca="false">'Datos Revit'!G38</f>
        <v>3</v>
      </c>
      <c r="I62" s="7" t="n">
        <f aca="false">'Datos Revit'!H38</f>
        <v>3</v>
      </c>
      <c r="J62" s="15" t="n">
        <f aca="false">SUM(E62:I62)</f>
        <v>12</v>
      </c>
      <c r="K62" s="11" t="s">
        <v>118</v>
      </c>
      <c r="L62" s="5"/>
    </row>
    <row r="63" customFormat="false" ht="23.85" hidden="false" customHeight="false" outlineLevel="0" collapsed="false">
      <c r="A63" s="5" t="s">
        <v>230</v>
      </c>
      <c r="B63" s="5" t="s">
        <v>231</v>
      </c>
      <c r="C63" s="5" t="s">
        <v>232</v>
      </c>
      <c r="D63" s="5" t="s">
        <v>15</v>
      </c>
      <c r="E63" s="7" t="n">
        <f aca="false">'Datos Revit'!D39</f>
        <v>0</v>
      </c>
      <c r="F63" s="7" t="n">
        <f aca="false">'Datos Revit'!E39</f>
        <v>3</v>
      </c>
      <c r="G63" s="7" t="n">
        <f aca="false">'Datos Revit'!F39</f>
        <v>3</v>
      </c>
      <c r="H63" s="7" t="n">
        <f aca="false">'Datos Revit'!G39</f>
        <v>3</v>
      </c>
      <c r="I63" s="7" t="n">
        <f aca="false">'Datos Revit'!H39</f>
        <v>3</v>
      </c>
      <c r="J63" s="15" t="n">
        <f aca="false">SUM(E63:I63)</f>
        <v>12</v>
      </c>
      <c r="K63" s="11" t="s">
        <v>118</v>
      </c>
      <c r="L63" s="5"/>
    </row>
    <row r="64" customFormat="false" ht="23.85" hidden="false" customHeight="false" outlineLevel="0" collapsed="false">
      <c r="A64" s="5" t="s">
        <v>233</v>
      </c>
      <c r="B64" s="5" t="s">
        <v>234</v>
      </c>
      <c r="C64" s="5" t="s">
        <v>235</v>
      </c>
      <c r="D64" s="5" t="s">
        <v>15</v>
      </c>
      <c r="E64" s="7" t="n">
        <f aca="false">'Datos Revit'!D40</f>
        <v>1</v>
      </c>
      <c r="F64" s="7" t="n">
        <f aca="false">'Datos Revit'!E40</f>
        <v>0</v>
      </c>
      <c r="G64" s="7" t="n">
        <f aca="false">'Datos Revit'!F40</f>
        <v>0</v>
      </c>
      <c r="H64" s="7" t="n">
        <f aca="false">'Datos Revit'!G40</f>
        <v>0</v>
      </c>
      <c r="I64" s="7" t="n">
        <f aca="false">'Datos Revit'!H40</f>
        <v>0</v>
      </c>
      <c r="J64" s="15" t="n">
        <f aca="false">SUM(E64:I64)</f>
        <v>1</v>
      </c>
      <c r="K64" s="11" t="s">
        <v>118</v>
      </c>
      <c r="L64" s="5"/>
    </row>
    <row r="65" customFormat="false" ht="23.85" hidden="false" customHeight="false" outlineLevel="0" collapsed="false">
      <c r="A65" s="5" t="s">
        <v>236</v>
      </c>
      <c r="B65" s="5" t="s">
        <v>237</v>
      </c>
      <c r="C65" s="5" t="s">
        <v>238</v>
      </c>
      <c r="D65" s="5" t="s">
        <v>15</v>
      </c>
      <c r="E65" s="7" t="n">
        <f aca="false">'Datos Revit'!D41</f>
        <v>2</v>
      </c>
      <c r="F65" s="7" t="n">
        <f aca="false">'Datos Revit'!E41</f>
        <v>3</v>
      </c>
      <c r="G65" s="7" t="n">
        <f aca="false">'Datos Revit'!F41</f>
        <v>3</v>
      </c>
      <c r="H65" s="7" t="n">
        <f aca="false">'Datos Revit'!G41</f>
        <v>3</v>
      </c>
      <c r="I65" s="7" t="n">
        <f aca="false">'Datos Revit'!H41</f>
        <v>3</v>
      </c>
      <c r="J65" s="15" t="n">
        <f aca="false">SUM(E65:I65)</f>
        <v>14</v>
      </c>
      <c r="K65" s="11" t="s">
        <v>118</v>
      </c>
      <c r="L65" s="5"/>
    </row>
    <row r="66" customFormat="false" ht="23.85" hidden="false" customHeight="false" outlineLevel="0" collapsed="false">
      <c r="A66" s="5" t="s">
        <v>239</v>
      </c>
      <c r="B66" s="5" t="s">
        <v>240</v>
      </c>
      <c r="C66" s="5" t="s">
        <v>241</v>
      </c>
      <c r="D66" s="5" t="s">
        <v>15</v>
      </c>
      <c r="E66" s="7" t="n">
        <f aca="false">'Datos Revit'!D42</f>
        <v>0</v>
      </c>
      <c r="F66" s="7" t="n">
        <f aca="false">'Datos Revit'!E42</f>
        <v>0</v>
      </c>
      <c r="G66" s="7" t="n">
        <f aca="false">'Datos Revit'!F42</f>
        <v>3</v>
      </c>
      <c r="H66" s="7" t="n">
        <f aca="false">'Datos Revit'!G42</f>
        <v>3</v>
      </c>
      <c r="I66" s="7" t="n">
        <f aca="false">'Datos Revit'!H42</f>
        <v>3</v>
      </c>
      <c r="J66" s="15" t="n">
        <f aca="false">SUM(E66:I66)</f>
        <v>9</v>
      </c>
      <c r="K66" s="11" t="s">
        <v>118</v>
      </c>
      <c r="L66" s="5"/>
    </row>
    <row r="67" customFormat="false" ht="15" hidden="false" customHeight="false" outlineLevel="0" collapsed="false">
      <c r="A67" s="5" t="s">
        <v>242</v>
      </c>
      <c r="B67" s="5" t="s">
        <v>243</v>
      </c>
      <c r="C67" s="5" t="s">
        <v>244</v>
      </c>
      <c r="D67" s="5" t="s">
        <v>15</v>
      </c>
      <c r="E67" s="7" t="n">
        <f aca="false">'Datos Revit'!D41</f>
        <v>2</v>
      </c>
      <c r="F67" s="7" t="n">
        <f aca="false">'Datos Revit'!E41</f>
        <v>3</v>
      </c>
      <c r="G67" s="7" t="n">
        <f aca="false">'Datos Revit'!F41</f>
        <v>3</v>
      </c>
      <c r="H67" s="7" t="n">
        <f aca="false">'Datos Revit'!G41</f>
        <v>3</v>
      </c>
      <c r="I67" s="7" t="n">
        <f aca="false">'Datos Revit'!H41</f>
        <v>3</v>
      </c>
      <c r="J67" s="15" t="n">
        <f aca="false">SUM(E67:I67)</f>
        <v>14</v>
      </c>
      <c r="K67" s="11" t="s">
        <v>62</v>
      </c>
      <c r="L67" s="5" t="s">
        <v>245</v>
      </c>
    </row>
    <row r="68" customFormat="false" ht="15" hidden="false" customHeight="false" outlineLevel="0" collapsed="false">
      <c r="A68" s="5" t="s">
        <v>246</v>
      </c>
      <c r="B68" s="5" t="s">
        <v>247</v>
      </c>
      <c r="C68" s="5" t="s">
        <v>248</v>
      </c>
      <c r="D68" s="5" t="s">
        <v>15</v>
      </c>
      <c r="E68" s="7" t="n">
        <f aca="false">'Datos Revit'!D39+'Datos Revit'!D40</f>
        <v>1</v>
      </c>
      <c r="F68" s="7" t="n">
        <f aca="false">'Datos Revit'!E39+'Datos Revit'!E40</f>
        <v>3</v>
      </c>
      <c r="G68" s="7" t="n">
        <f aca="false">'Datos Revit'!F39+'Datos Revit'!F40</f>
        <v>3</v>
      </c>
      <c r="H68" s="7" t="n">
        <f aca="false">'Datos Revit'!G39+'Datos Revit'!G40</f>
        <v>3</v>
      </c>
      <c r="I68" s="7" t="n">
        <f aca="false">'Datos Revit'!H39+'Datos Revit'!H40</f>
        <v>3</v>
      </c>
      <c r="J68" s="15" t="n">
        <f aca="false">SUM(E68:I68)</f>
        <v>13</v>
      </c>
      <c r="K68" s="11" t="s">
        <v>62</v>
      </c>
      <c r="L68" s="5" t="s">
        <v>249</v>
      </c>
    </row>
    <row r="69" customFormat="false" ht="23.85" hidden="false" customHeight="false" outlineLevel="0" collapsed="false">
      <c r="A69" s="5" t="s">
        <v>250</v>
      </c>
      <c r="B69" s="5" t="s">
        <v>251</v>
      </c>
      <c r="C69" s="5" t="s">
        <v>252</v>
      </c>
      <c r="D69" s="5" t="s">
        <v>253</v>
      </c>
      <c r="E69" s="7" t="n">
        <f aca="false">'Datos Revit'!D37</f>
        <v>2</v>
      </c>
      <c r="F69" s="7" t="n">
        <f aca="false">'Datos Revit'!E37</f>
        <v>3</v>
      </c>
      <c r="G69" s="7" t="n">
        <f aca="false">'Datos Revit'!F37</f>
        <v>3</v>
      </c>
      <c r="H69" s="7" t="n">
        <f aca="false">'Datos Revit'!G37</f>
        <v>3</v>
      </c>
      <c r="I69" s="7" t="n">
        <f aca="false">'Datos Revit'!H37</f>
        <v>3</v>
      </c>
      <c r="J69" s="15" t="n">
        <f aca="false">SUM(E69:I69)</f>
        <v>14</v>
      </c>
      <c r="K69" s="11" t="s">
        <v>62</v>
      </c>
      <c r="L69" s="5" t="s">
        <v>254</v>
      </c>
    </row>
    <row r="70" customFormat="false" ht="23.85" hidden="false" customHeight="false" outlineLevel="0" collapsed="false">
      <c r="A70" s="5" t="s">
        <v>255</v>
      </c>
      <c r="B70" s="5" t="s">
        <v>256</v>
      </c>
      <c r="C70" s="5" t="s">
        <v>257</v>
      </c>
      <c r="D70" s="5" t="s">
        <v>15</v>
      </c>
      <c r="E70" s="7" t="n">
        <f aca="false">'Datos Revit'!D38+'Datos Revit'!D40</f>
        <v>1</v>
      </c>
      <c r="F70" s="7" t="n">
        <f aca="false">'Datos Revit'!E38+'Datos Revit'!E40</f>
        <v>3</v>
      </c>
      <c r="G70" s="7" t="n">
        <f aca="false">'Datos Revit'!F38+'Datos Revit'!F40</f>
        <v>3</v>
      </c>
      <c r="H70" s="7" t="n">
        <f aca="false">'Datos Revit'!G38+'Datos Revit'!G40</f>
        <v>3</v>
      </c>
      <c r="I70" s="7" t="n">
        <f aca="false">'Datos Revit'!H38+'Datos Revit'!H40</f>
        <v>3</v>
      </c>
      <c r="J70" s="15" t="n">
        <f aca="false">SUM(E70:I70)</f>
        <v>13</v>
      </c>
      <c r="K70" s="11" t="s">
        <v>62</v>
      </c>
      <c r="L70" s="5" t="s">
        <v>258</v>
      </c>
    </row>
    <row r="71" customFormat="false" ht="15" hidden="false" customHeight="false" outlineLevel="0" collapsed="false">
      <c r="A71" s="9" t="s">
        <v>259</v>
      </c>
      <c r="B71" s="9" t="s">
        <v>260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customFormat="false" ht="35.05" hidden="false" customHeight="false" outlineLevel="0" collapsed="false">
      <c r="A72" s="5" t="s">
        <v>261</v>
      </c>
      <c r="B72" s="5" t="s">
        <v>262</v>
      </c>
      <c r="C72" s="5" t="s">
        <v>263</v>
      </c>
      <c r="D72" s="5" t="s">
        <v>264</v>
      </c>
      <c r="E72" s="5"/>
      <c r="F72" s="5"/>
      <c r="G72" s="5"/>
      <c r="H72" s="5"/>
      <c r="I72" s="5"/>
      <c r="J72" s="19" t="n">
        <v>1</v>
      </c>
      <c r="K72" s="11" t="s">
        <v>87</v>
      </c>
      <c r="L72" s="5" t="s">
        <v>265</v>
      </c>
    </row>
  </sheetData>
  <autoFilter ref="A4:L72"/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266</v>
      </c>
      <c r="B1" s="2"/>
      <c r="C1" s="2"/>
      <c r="D1" s="2"/>
    </row>
    <row r="2" customFormat="false" ht="15" hidden="false" customHeight="false" outlineLevel="0" collapsed="false">
      <c r="A2" s="3" t="s">
        <v>267</v>
      </c>
      <c r="B2" s="2"/>
      <c r="C2" s="2"/>
      <c r="D2" s="2"/>
    </row>
    <row r="3" customFormat="false" ht="15" hidden="false" customHeight="false" outlineLevel="0" collapsed="false">
      <c r="A3" s="4" t="s">
        <v>268</v>
      </c>
      <c r="B3" s="4" t="s">
        <v>269</v>
      </c>
      <c r="C3" s="4" t="s">
        <v>4</v>
      </c>
      <c r="D3" s="4" t="s">
        <v>270</v>
      </c>
    </row>
    <row r="4" customFormat="false" ht="15" hidden="false" customHeight="false" outlineLevel="0" collapsed="false">
      <c r="A4" s="5" t="s">
        <v>271</v>
      </c>
      <c r="B4" s="20" t="n">
        <v>0.56</v>
      </c>
      <c r="C4" s="5" t="s">
        <v>272</v>
      </c>
      <c r="D4" s="5" t="s">
        <v>273</v>
      </c>
    </row>
    <row r="5" customFormat="false" ht="15" hidden="false" customHeight="false" outlineLevel="0" collapsed="false">
      <c r="A5" s="5" t="s">
        <v>274</v>
      </c>
      <c r="B5" s="20" t="n">
        <v>0.994</v>
      </c>
      <c r="C5" s="5" t="s">
        <v>272</v>
      </c>
      <c r="D5" s="5" t="s">
        <v>273</v>
      </c>
    </row>
    <row r="6" customFormat="false" ht="15" hidden="false" customHeight="false" outlineLevel="0" collapsed="false">
      <c r="A6" s="5" t="s">
        <v>275</v>
      </c>
      <c r="B6" s="21" t="n">
        <v>0.05</v>
      </c>
      <c r="C6" s="5"/>
      <c r="D6" s="5" t="s">
        <v>276</v>
      </c>
    </row>
    <row r="7" customFormat="false" ht="15" hidden="false" customHeight="false" outlineLevel="0" collapsed="false">
      <c r="A7" s="5" t="s">
        <v>277</v>
      </c>
      <c r="B7" s="21" t="n">
        <v>0.05</v>
      </c>
      <c r="C7" s="5"/>
      <c r="D7" s="5" t="s">
        <v>278</v>
      </c>
    </row>
    <row r="8" customFormat="false" ht="23.85" hidden="false" customHeight="false" outlineLevel="0" collapsed="false">
      <c r="A8" s="5" t="s">
        <v>279</v>
      </c>
      <c r="B8" s="22" t="n">
        <v>15.4</v>
      </c>
      <c r="C8" s="5" t="s">
        <v>280</v>
      </c>
      <c r="D8" s="5" t="s">
        <v>281</v>
      </c>
    </row>
    <row r="9" customFormat="false" ht="15" hidden="false" customHeight="false" outlineLevel="0" collapsed="false">
      <c r="A9" s="5" t="s">
        <v>282</v>
      </c>
      <c r="B9" s="21" t="n">
        <v>0.05</v>
      </c>
      <c r="C9" s="5"/>
      <c r="D9" s="5" t="s">
        <v>278</v>
      </c>
    </row>
    <row r="10" customFormat="false" ht="15" hidden="false" customHeight="false" outlineLevel="0" collapsed="false">
      <c r="A10" s="5" t="s">
        <v>283</v>
      </c>
      <c r="B10" s="20" t="n">
        <v>0.012</v>
      </c>
      <c r="C10" s="5" t="s">
        <v>284</v>
      </c>
      <c r="D10" s="5" t="s">
        <v>285</v>
      </c>
    </row>
    <row r="11" customFormat="false" ht="15" hidden="false" customHeight="false" outlineLevel="0" collapsed="false">
      <c r="A11" s="5" t="s">
        <v>286</v>
      </c>
      <c r="B11" s="22" t="n">
        <v>2</v>
      </c>
      <c r="C11" s="5" t="s">
        <v>287</v>
      </c>
      <c r="D11" s="5" t="s">
        <v>288</v>
      </c>
    </row>
    <row r="12" customFormat="false" ht="15" hidden="false" customHeight="false" outlineLevel="0" collapsed="false">
      <c r="A12" s="5" t="s">
        <v>289</v>
      </c>
      <c r="B12" s="20" t="n">
        <v>0.04</v>
      </c>
      <c r="C12" s="5" t="s">
        <v>290</v>
      </c>
      <c r="D12" s="5" t="s">
        <v>291</v>
      </c>
    </row>
    <row r="13" customFormat="false" ht="15" hidden="false" customHeight="false" outlineLevel="0" collapsed="false">
      <c r="A13" s="5" t="s">
        <v>292</v>
      </c>
      <c r="B13" s="20" t="n">
        <v>0.3</v>
      </c>
      <c r="C13" s="5" t="s">
        <v>290</v>
      </c>
      <c r="D13" s="5" t="s">
        <v>293</v>
      </c>
    </row>
    <row r="14" customFormat="false" ht="15" hidden="false" customHeight="false" outlineLevel="0" collapsed="false">
      <c r="A14" s="5" t="s">
        <v>294</v>
      </c>
      <c r="B14" s="22" t="n">
        <v>1.45</v>
      </c>
      <c r="C14" s="5" t="s">
        <v>290</v>
      </c>
      <c r="D14" s="5" t="s">
        <v>295</v>
      </c>
    </row>
    <row r="15" customFormat="false" ht="15" hidden="false" customHeight="false" outlineLevel="0" collapsed="false">
      <c r="A15" s="5" t="s">
        <v>296</v>
      </c>
      <c r="B15" s="22" t="n">
        <v>1.3</v>
      </c>
      <c r="C15" s="5"/>
      <c r="D15" s="5" t="s">
        <v>297</v>
      </c>
    </row>
    <row r="16" customFormat="false" ht="15" hidden="false" customHeight="false" outlineLevel="0" collapsed="false">
      <c r="A16" s="5" t="s">
        <v>298</v>
      </c>
      <c r="B16" s="20" t="n">
        <v>0.05</v>
      </c>
      <c r="C16" s="5" t="s">
        <v>290</v>
      </c>
      <c r="D16" s="5" t="s">
        <v>299</v>
      </c>
    </row>
    <row r="17" customFormat="false" ht="15" hidden="false" customHeight="false" outlineLevel="0" collapsed="false">
      <c r="A17" s="5" t="s">
        <v>300</v>
      </c>
      <c r="B17" s="20" t="n">
        <v>0.1</v>
      </c>
      <c r="C17" s="5" t="s">
        <v>290</v>
      </c>
      <c r="D17" s="5" t="s">
        <v>301</v>
      </c>
    </row>
    <row r="18" customFormat="false" ht="15" hidden="false" customHeight="false" outlineLevel="0" collapsed="false">
      <c r="A18" s="5" t="s">
        <v>302</v>
      </c>
      <c r="B18" s="22" t="n">
        <v>7850</v>
      </c>
      <c r="C18" s="5" t="s">
        <v>303</v>
      </c>
      <c r="D18" s="5" t="s">
        <v>304</v>
      </c>
    </row>
    <row r="19" customFormat="false" ht="15" hidden="false" customHeight="false" outlineLevel="0" collapsed="false">
      <c r="A19" s="5" t="s">
        <v>305</v>
      </c>
      <c r="B19" s="22" t="n">
        <v>61.3</v>
      </c>
      <c r="C19" s="5" t="s">
        <v>272</v>
      </c>
      <c r="D19" s="5" t="s">
        <v>306</v>
      </c>
    </row>
    <row r="20" customFormat="false" ht="15" hidden="false" customHeight="false" outlineLevel="0" collapsed="false">
      <c r="A20" s="5" t="s">
        <v>307</v>
      </c>
      <c r="B20" s="20" t="n">
        <v>0.2</v>
      </c>
      <c r="C20" s="5" t="s">
        <v>290</v>
      </c>
      <c r="D20" s="5" t="s">
        <v>308</v>
      </c>
    </row>
    <row r="21" customFormat="false" ht="15" hidden="false" customHeight="false" outlineLevel="0" collapsed="false">
      <c r="A21" s="5" t="s">
        <v>309</v>
      </c>
      <c r="B21" s="22" t="n">
        <v>1</v>
      </c>
      <c r="C21" s="5"/>
      <c r="D21" s="5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0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312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3" t="s">
        <v>313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4" t="s">
        <v>314</v>
      </c>
      <c r="B5" s="4" t="s">
        <v>4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315</v>
      </c>
      <c r="I5" s="4"/>
      <c r="J5" s="4" t="s">
        <v>5</v>
      </c>
    </row>
    <row r="6" customFormat="false" ht="15" hidden="false" customHeight="false" outlineLevel="0" collapsed="false">
      <c r="A6" s="5" t="s">
        <v>316</v>
      </c>
      <c r="B6" s="5" t="s">
        <v>7</v>
      </c>
      <c r="C6" s="24" t="n">
        <v>128.03</v>
      </c>
      <c r="D6" s="24" t="n">
        <v>110.53</v>
      </c>
      <c r="E6" s="24" t="n">
        <v>109.91</v>
      </c>
      <c r="F6" s="24" t="n">
        <v>110.04</v>
      </c>
      <c r="G6" s="24" t="n">
        <v>108.3</v>
      </c>
      <c r="H6" s="14" t="n">
        <f aca="false">SUM(C6:G6)</f>
        <v>566.81</v>
      </c>
      <c r="I6" s="2"/>
      <c r="J6" s="5" t="s">
        <v>317</v>
      </c>
    </row>
    <row r="7" customFormat="false" ht="15" hidden="false" customHeight="false" outlineLevel="0" collapsed="false">
      <c r="A7" s="5" t="s">
        <v>318</v>
      </c>
      <c r="B7" s="5" t="s">
        <v>7</v>
      </c>
      <c r="C7" s="24" t="n">
        <v>37.09</v>
      </c>
      <c r="D7" s="24" t="n">
        <v>0</v>
      </c>
      <c r="E7" s="24" t="n">
        <v>0</v>
      </c>
      <c r="F7" s="24" t="n">
        <v>0</v>
      </c>
      <c r="G7" s="24" t="n">
        <v>0</v>
      </c>
      <c r="H7" s="14" t="n">
        <f aca="false">SUM(C7:G7)</f>
        <v>37.09</v>
      </c>
      <c r="I7" s="2"/>
      <c r="J7" s="5" t="s">
        <v>319</v>
      </c>
    </row>
    <row r="8" customFormat="false" ht="15" hidden="false" customHeight="false" outlineLevel="0" collapsed="false">
      <c r="A8" s="5" t="s">
        <v>320</v>
      </c>
      <c r="B8" s="5" t="s">
        <v>15</v>
      </c>
      <c r="C8" s="25" t="n">
        <v>24</v>
      </c>
      <c r="D8" s="25" t="n">
        <v>29</v>
      </c>
      <c r="E8" s="25" t="n">
        <v>26</v>
      </c>
      <c r="F8" s="25" t="n">
        <v>26</v>
      </c>
      <c r="G8" s="25" t="n">
        <v>26</v>
      </c>
      <c r="H8" s="15" t="n">
        <f aca="false">SUM(C8:G8)</f>
        <v>131</v>
      </c>
      <c r="I8" s="2"/>
      <c r="J8" s="5"/>
    </row>
    <row r="9" customFormat="false" ht="23.85" hidden="false" customHeight="false" outlineLevel="0" collapsed="false">
      <c r="A9" s="5" t="s">
        <v>321</v>
      </c>
      <c r="B9" s="5" t="s">
        <v>7</v>
      </c>
      <c r="C9" s="24" t="n">
        <v>339.4</v>
      </c>
      <c r="D9" s="24" t="n">
        <v>251.1</v>
      </c>
      <c r="E9" s="24" t="n">
        <v>256.42</v>
      </c>
      <c r="F9" s="24" t="n">
        <v>256.08</v>
      </c>
      <c r="G9" s="24" t="n">
        <v>256.15</v>
      </c>
      <c r="H9" s="14" t="n">
        <f aca="false">SUM(C9:G9)</f>
        <v>1359.15</v>
      </c>
      <c r="I9" s="2"/>
      <c r="J9" s="5" t="s">
        <v>322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3" t="s">
        <v>323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4" t="s">
        <v>324</v>
      </c>
      <c r="B12" s="4" t="s">
        <v>325</v>
      </c>
      <c r="C12" s="4" t="s">
        <v>326</v>
      </c>
      <c r="D12" s="4" t="s">
        <v>33</v>
      </c>
      <c r="E12" s="4" t="s">
        <v>34</v>
      </c>
      <c r="F12" s="4" t="s">
        <v>35</v>
      </c>
      <c r="G12" s="4" t="s">
        <v>36</v>
      </c>
      <c r="H12" s="4" t="s">
        <v>37</v>
      </c>
      <c r="I12" s="4" t="s">
        <v>315</v>
      </c>
      <c r="J12" s="4" t="s">
        <v>5</v>
      </c>
    </row>
    <row r="13" customFormat="false" ht="15" hidden="false" customHeight="false" outlineLevel="0" collapsed="false">
      <c r="A13" s="5" t="s">
        <v>327</v>
      </c>
      <c r="B13" s="26" t="n">
        <v>2.4</v>
      </c>
      <c r="C13" s="26" t="n">
        <v>2.1</v>
      </c>
      <c r="D13" s="25" t="n">
        <v>1</v>
      </c>
      <c r="E13" s="25" t="n">
        <v>0</v>
      </c>
      <c r="F13" s="25" t="n">
        <v>0</v>
      </c>
      <c r="G13" s="25" t="n">
        <v>0</v>
      </c>
      <c r="H13" s="25" t="n">
        <v>0</v>
      </c>
      <c r="I13" s="15" t="n">
        <f aca="false">SUM(D13:H13)</f>
        <v>1</v>
      </c>
      <c r="J13" s="5"/>
    </row>
    <row r="14" customFormat="false" ht="15" hidden="false" customHeight="false" outlineLevel="0" collapsed="false">
      <c r="A14" s="5" t="s">
        <v>328</v>
      </c>
      <c r="B14" s="26" t="n">
        <v>0.9</v>
      </c>
      <c r="C14" s="26" t="n">
        <v>2.1</v>
      </c>
      <c r="D14" s="25" t="n">
        <v>1</v>
      </c>
      <c r="E14" s="25" t="n">
        <v>0</v>
      </c>
      <c r="F14" s="25" t="n">
        <v>0</v>
      </c>
      <c r="G14" s="25" t="n">
        <v>0</v>
      </c>
      <c r="H14" s="25" t="n">
        <v>0</v>
      </c>
      <c r="I14" s="15" t="n">
        <f aca="false">SUM(D14:H14)</f>
        <v>1</v>
      </c>
      <c r="J14" s="5"/>
    </row>
    <row r="15" customFormat="false" ht="15" hidden="false" customHeight="false" outlineLevel="0" collapsed="false">
      <c r="A15" s="5" t="s">
        <v>329</v>
      </c>
      <c r="B15" s="26" t="n">
        <v>0.915</v>
      </c>
      <c r="C15" s="26" t="n">
        <v>2.134</v>
      </c>
      <c r="D15" s="25" t="n">
        <v>1</v>
      </c>
      <c r="E15" s="25" t="n">
        <v>0</v>
      </c>
      <c r="F15" s="25" t="n">
        <v>0</v>
      </c>
      <c r="G15" s="25" t="n">
        <v>0</v>
      </c>
      <c r="H15" s="25" t="n">
        <v>0</v>
      </c>
      <c r="I15" s="15" t="n">
        <f aca="false">SUM(D15:H15)</f>
        <v>1</v>
      </c>
      <c r="J15" s="5" t="s">
        <v>330</v>
      </c>
    </row>
    <row r="16" customFormat="false" ht="15" hidden="false" customHeight="false" outlineLevel="0" collapsed="false">
      <c r="A16" s="5" t="s">
        <v>331</v>
      </c>
      <c r="B16" s="26" t="n">
        <v>1.2</v>
      </c>
      <c r="C16" s="26" t="n">
        <v>2.1</v>
      </c>
      <c r="D16" s="25" t="n">
        <v>1</v>
      </c>
      <c r="E16" s="25" t="n">
        <v>0</v>
      </c>
      <c r="F16" s="25" t="n">
        <v>0</v>
      </c>
      <c r="G16" s="25" t="n">
        <v>0</v>
      </c>
      <c r="H16" s="25" t="n">
        <v>0</v>
      </c>
      <c r="I16" s="15" t="n">
        <f aca="false">SUM(D16:H16)</f>
        <v>1</v>
      </c>
      <c r="J16" s="5"/>
    </row>
    <row r="17" customFormat="false" ht="15" hidden="false" customHeight="false" outlineLevel="0" collapsed="false">
      <c r="A17" s="5" t="s">
        <v>332</v>
      </c>
      <c r="B17" s="26" t="n">
        <v>0.9</v>
      </c>
      <c r="C17" s="26" t="n">
        <v>2.1</v>
      </c>
      <c r="D17" s="25" t="n">
        <v>3</v>
      </c>
      <c r="E17" s="25" t="n">
        <v>0</v>
      </c>
      <c r="F17" s="25" t="n">
        <v>0</v>
      </c>
      <c r="G17" s="25" t="n">
        <v>0</v>
      </c>
      <c r="H17" s="25" t="n">
        <v>0</v>
      </c>
      <c r="I17" s="15" t="n">
        <f aca="false">SUM(D17:H17)</f>
        <v>3</v>
      </c>
      <c r="J17" s="5"/>
    </row>
    <row r="18" customFormat="false" ht="15" hidden="false" customHeight="false" outlineLevel="0" collapsed="false">
      <c r="A18" s="5" t="s">
        <v>333</v>
      </c>
      <c r="B18" s="26" t="n">
        <v>0.7</v>
      </c>
      <c r="C18" s="26" t="n">
        <v>2.1</v>
      </c>
      <c r="D18" s="25" t="n">
        <v>0</v>
      </c>
      <c r="E18" s="25" t="n">
        <v>3</v>
      </c>
      <c r="F18" s="25" t="n">
        <v>2</v>
      </c>
      <c r="G18" s="25" t="n">
        <v>2</v>
      </c>
      <c r="H18" s="25" t="n">
        <v>2</v>
      </c>
      <c r="I18" s="15" t="n">
        <f aca="false">SUM(D18:H18)</f>
        <v>9</v>
      </c>
      <c r="J18" s="5"/>
    </row>
    <row r="19" customFormat="false" ht="15" hidden="false" customHeight="false" outlineLevel="0" collapsed="false">
      <c r="A19" s="5" t="s">
        <v>334</v>
      </c>
      <c r="B19" s="26" t="n">
        <v>0.8</v>
      </c>
      <c r="C19" s="26" t="n">
        <v>2.1</v>
      </c>
      <c r="D19" s="25" t="n">
        <v>2</v>
      </c>
      <c r="E19" s="25" t="n">
        <v>1</v>
      </c>
      <c r="F19" s="25" t="n">
        <v>0</v>
      </c>
      <c r="G19" s="25" t="n">
        <v>0</v>
      </c>
      <c r="H19" s="25" t="n">
        <v>0</v>
      </c>
      <c r="I19" s="15" t="n">
        <f aca="false">SUM(D19:H19)</f>
        <v>3</v>
      </c>
      <c r="J19" s="5"/>
    </row>
    <row r="20" customFormat="false" ht="15" hidden="false" customHeight="false" outlineLevel="0" collapsed="false">
      <c r="A20" s="5" t="s">
        <v>334</v>
      </c>
      <c r="B20" s="26" t="n">
        <v>0.9</v>
      </c>
      <c r="C20" s="26" t="n">
        <v>2.1</v>
      </c>
      <c r="D20" s="25" t="n">
        <v>2</v>
      </c>
      <c r="E20" s="25" t="n">
        <v>0</v>
      </c>
      <c r="F20" s="25" t="n">
        <v>3</v>
      </c>
      <c r="G20" s="25" t="n">
        <v>3</v>
      </c>
      <c r="H20" s="25" t="n">
        <v>3</v>
      </c>
      <c r="I20" s="15" t="n">
        <f aca="false">SUM(D20:H20)</f>
        <v>11</v>
      </c>
      <c r="J20" s="5"/>
    </row>
    <row r="21" customFormat="false" ht="15" hidden="false" customHeight="false" outlineLevel="0" collapsed="false">
      <c r="A21" s="5" t="s">
        <v>335</v>
      </c>
      <c r="B21" s="26" t="n">
        <v>0.7</v>
      </c>
      <c r="C21" s="26" t="n">
        <v>2.1</v>
      </c>
      <c r="D21" s="25" t="n">
        <v>0</v>
      </c>
      <c r="E21" s="25" t="n">
        <v>1</v>
      </c>
      <c r="F21" s="25" t="n">
        <v>1</v>
      </c>
      <c r="G21" s="25" t="n">
        <v>1</v>
      </c>
      <c r="H21" s="25" t="n">
        <v>1</v>
      </c>
      <c r="I21" s="15" t="n">
        <f aca="false">SUM(D21:H21)</f>
        <v>4</v>
      </c>
      <c r="J21" s="5"/>
    </row>
    <row r="22" customFormat="false" ht="15" hidden="false" customHeight="false" outlineLevel="0" collapsed="false">
      <c r="A22" s="5" t="s">
        <v>336</v>
      </c>
      <c r="B22" s="26" t="n">
        <v>1</v>
      </c>
      <c r="C22" s="26" t="n">
        <v>2.1</v>
      </c>
      <c r="D22" s="25" t="n">
        <v>0</v>
      </c>
      <c r="E22" s="25" t="n">
        <v>1</v>
      </c>
      <c r="F22" s="25" t="n">
        <v>0</v>
      </c>
      <c r="G22" s="25" t="n">
        <v>0</v>
      </c>
      <c r="H22" s="25" t="n">
        <v>0</v>
      </c>
      <c r="I22" s="15" t="n">
        <f aca="false">SUM(D22:H22)</f>
        <v>1</v>
      </c>
      <c r="J22" s="5"/>
    </row>
    <row r="23" customFormat="false" ht="15" hidden="false" customHeight="false" outlineLevel="0" collapsed="false">
      <c r="A23" s="5" t="s">
        <v>337</v>
      </c>
      <c r="B23" s="26" t="n">
        <v>1.6</v>
      </c>
      <c r="C23" s="26" t="n">
        <v>2.3</v>
      </c>
      <c r="D23" s="25" t="n">
        <v>0</v>
      </c>
      <c r="E23" s="25" t="n">
        <v>0</v>
      </c>
      <c r="F23" s="25" t="n">
        <v>1</v>
      </c>
      <c r="G23" s="25" t="n">
        <v>1</v>
      </c>
      <c r="H23" s="25" t="n">
        <v>1</v>
      </c>
      <c r="I23" s="15" t="n">
        <f aca="false">SUM(D23:H23)</f>
        <v>3</v>
      </c>
      <c r="J23" s="5"/>
    </row>
    <row r="24" customFormat="false" ht="23.85" hidden="false" customHeight="false" outlineLevel="0" collapsed="false">
      <c r="A24" s="5" t="s">
        <v>338</v>
      </c>
      <c r="B24" s="26"/>
      <c r="C24" s="26"/>
      <c r="D24" s="25" t="n">
        <v>0</v>
      </c>
      <c r="E24" s="25" t="n">
        <v>1</v>
      </c>
      <c r="F24" s="25" t="n">
        <v>1</v>
      </c>
      <c r="G24" s="25" t="n">
        <v>1</v>
      </c>
      <c r="H24" s="25" t="n">
        <v>1</v>
      </c>
      <c r="I24" s="15" t="n">
        <f aca="false">SUM(D24:H24)</f>
        <v>4</v>
      </c>
      <c r="J24" s="5" t="s">
        <v>339</v>
      </c>
    </row>
    <row r="25" customFormat="false" ht="15" hidden="false" customHeight="false" outlineLevel="0" collapsed="false">
      <c r="A25" s="27" t="s">
        <v>340</v>
      </c>
      <c r="B25" s="2"/>
      <c r="C25" s="2"/>
      <c r="D25" s="28" t="n">
        <f aca="false">SUM(D13:D24)</f>
        <v>11</v>
      </c>
      <c r="E25" s="28" t="n">
        <f aca="false">SUM(E13:E24)</f>
        <v>7</v>
      </c>
      <c r="F25" s="28" t="n">
        <f aca="false">SUM(F13:F24)</f>
        <v>8</v>
      </c>
      <c r="G25" s="28" t="n">
        <f aca="false">SUM(G13:G24)</f>
        <v>8</v>
      </c>
      <c r="H25" s="28" t="n">
        <f aca="false">SUM(H13:H24)</f>
        <v>8</v>
      </c>
      <c r="I25" s="28" t="n">
        <f aca="false">SUM(I13:I24)</f>
        <v>42</v>
      </c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3" t="s">
        <v>341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4" t="s">
        <v>324</v>
      </c>
      <c r="B28" s="4" t="s">
        <v>325</v>
      </c>
      <c r="C28" s="4" t="s">
        <v>326</v>
      </c>
      <c r="D28" s="4" t="s">
        <v>33</v>
      </c>
      <c r="E28" s="4" t="s">
        <v>34</v>
      </c>
      <c r="F28" s="4" t="s">
        <v>35</v>
      </c>
      <c r="G28" s="4" t="s">
        <v>36</v>
      </c>
      <c r="H28" s="4" t="s">
        <v>37</v>
      </c>
      <c r="I28" s="4" t="s">
        <v>315</v>
      </c>
      <c r="J28" s="4" t="s">
        <v>5</v>
      </c>
    </row>
    <row r="29" customFormat="false" ht="15" hidden="false" customHeight="false" outlineLevel="0" collapsed="false">
      <c r="A29" s="5" t="s">
        <v>342</v>
      </c>
      <c r="B29" s="26" t="n">
        <v>0.8</v>
      </c>
      <c r="C29" s="26" t="n">
        <v>0.8</v>
      </c>
      <c r="D29" s="25" t="n">
        <v>0</v>
      </c>
      <c r="E29" s="25" t="n">
        <v>3</v>
      </c>
      <c r="F29" s="25" t="n">
        <v>8</v>
      </c>
      <c r="G29" s="25" t="n">
        <v>8</v>
      </c>
      <c r="H29" s="25" t="n">
        <v>8</v>
      </c>
      <c r="I29" s="15" t="n">
        <f aca="false">SUM(D29:H29)</f>
        <v>27</v>
      </c>
      <c r="J29" s="5"/>
    </row>
    <row r="30" customFormat="false" ht="15" hidden="false" customHeight="false" outlineLevel="0" collapsed="false">
      <c r="A30" s="5" t="s">
        <v>343</v>
      </c>
      <c r="B30" s="26" t="n">
        <v>0.91</v>
      </c>
      <c r="C30" s="26" t="n">
        <v>0.91</v>
      </c>
      <c r="D30" s="25" t="n">
        <v>0</v>
      </c>
      <c r="E30" s="25" t="n">
        <v>2</v>
      </c>
      <c r="F30" s="25" t="n">
        <v>1</v>
      </c>
      <c r="G30" s="25" t="n">
        <v>1</v>
      </c>
      <c r="H30" s="25" t="n">
        <v>1</v>
      </c>
      <c r="I30" s="15" t="n">
        <f aca="false">SUM(D30:H30)</f>
        <v>5</v>
      </c>
      <c r="J30" s="5"/>
    </row>
    <row r="31" customFormat="false" ht="15" hidden="false" customHeight="false" outlineLevel="0" collapsed="false">
      <c r="A31" s="5" t="s">
        <v>344</v>
      </c>
      <c r="B31" s="26" t="n">
        <v>0.9</v>
      </c>
      <c r="C31" s="26" t="n">
        <v>2.41</v>
      </c>
      <c r="D31" s="25" t="n">
        <v>0</v>
      </c>
      <c r="E31" s="25" t="n">
        <v>1</v>
      </c>
      <c r="F31" s="25" t="n">
        <v>1</v>
      </c>
      <c r="G31" s="25" t="n">
        <v>1</v>
      </c>
      <c r="H31" s="25" t="n">
        <v>1</v>
      </c>
      <c r="I31" s="15" t="n">
        <f aca="false">SUM(D31:H31)</f>
        <v>4</v>
      </c>
      <c r="J31" s="5" t="s">
        <v>345</v>
      </c>
    </row>
    <row r="32" customFormat="false" ht="15" hidden="false" customHeight="false" outlineLevel="0" collapsed="false">
      <c r="A32" s="5" t="s">
        <v>346</v>
      </c>
      <c r="B32" s="26" t="n">
        <v>0.68</v>
      </c>
      <c r="C32" s="26" t="n">
        <v>2.2</v>
      </c>
      <c r="D32" s="25" t="n">
        <v>2</v>
      </c>
      <c r="E32" s="25" t="n">
        <v>0</v>
      </c>
      <c r="F32" s="25" t="n">
        <v>0</v>
      </c>
      <c r="G32" s="25" t="n">
        <v>0</v>
      </c>
      <c r="H32" s="25" t="n">
        <v>0</v>
      </c>
      <c r="I32" s="15" t="n">
        <f aca="false">SUM(D32:H32)</f>
        <v>2</v>
      </c>
      <c r="J32" s="5" t="s">
        <v>345</v>
      </c>
    </row>
    <row r="33" customFormat="false" ht="15" hidden="false" customHeight="false" outlineLevel="0" collapsed="false">
      <c r="A33" s="27" t="s">
        <v>347</v>
      </c>
      <c r="B33" s="2"/>
      <c r="C33" s="2"/>
      <c r="D33" s="28" t="n">
        <f aca="false">SUM(D29:D32)</f>
        <v>2</v>
      </c>
      <c r="E33" s="28" t="n">
        <f aca="false">SUM(E29:E32)</f>
        <v>6</v>
      </c>
      <c r="F33" s="28" t="n">
        <f aca="false">SUM(F29:F32)</f>
        <v>10</v>
      </c>
      <c r="G33" s="28" t="n">
        <f aca="false">SUM(G29:G32)</f>
        <v>10</v>
      </c>
      <c r="H33" s="28" t="n">
        <f aca="false">SUM(H29:H32)</f>
        <v>10</v>
      </c>
      <c r="I33" s="28" t="n">
        <f aca="false">SUM(I29:I32)</f>
        <v>38</v>
      </c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3" t="s">
        <v>348</v>
      </c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4" t="s">
        <v>349</v>
      </c>
      <c r="B36" s="4"/>
      <c r="C36" s="4"/>
      <c r="D36" s="4" t="s">
        <v>33</v>
      </c>
      <c r="E36" s="4" t="s">
        <v>34</v>
      </c>
      <c r="F36" s="4" t="s">
        <v>35</v>
      </c>
      <c r="G36" s="4" t="s">
        <v>36</v>
      </c>
      <c r="H36" s="4" t="s">
        <v>37</v>
      </c>
      <c r="I36" s="4" t="s">
        <v>315</v>
      </c>
      <c r="J36" s="4" t="s">
        <v>5</v>
      </c>
    </row>
    <row r="37" customFormat="false" ht="15" hidden="false" customHeight="false" outlineLevel="0" collapsed="false">
      <c r="A37" s="5" t="s">
        <v>225</v>
      </c>
      <c r="B37" s="2"/>
      <c r="C37" s="2"/>
      <c r="D37" s="25" t="n">
        <v>2</v>
      </c>
      <c r="E37" s="25" t="n">
        <v>3</v>
      </c>
      <c r="F37" s="25" t="n">
        <v>3</v>
      </c>
      <c r="G37" s="25" t="n">
        <v>3</v>
      </c>
      <c r="H37" s="25" t="n">
        <v>3</v>
      </c>
      <c r="I37" s="15" t="n">
        <f aca="false">SUM(D37:H37)</f>
        <v>14</v>
      </c>
      <c r="J37" s="2"/>
    </row>
    <row r="38" customFormat="false" ht="15" hidden="false" customHeight="false" outlineLevel="0" collapsed="false">
      <c r="A38" s="5" t="s">
        <v>228</v>
      </c>
      <c r="B38" s="2"/>
      <c r="C38" s="2"/>
      <c r="D38" s="25" t="n">
        <v>0</v>
      </c>
      <c r="E38" s="25" t="n">
        <v>3</v>
      </c>
      <c r="F38" s="25" t="n">
        <v>3</v>
      </c>
      <c r="G38" s="25" t="n">
        <v>3</v>
      </c>
      <c r="H38" s="25" t="n">
        <v>3</v>
      </c>
      <c r="I38" s="15" t="n">
        <f aca="false">SUM(D38:H38)</f>
        <v>12</v>
      </c>
      <c r="J38" s="2"/>
    </row>
    <row r="39" customFormat="false" ht="15" hidden="false" customHeight="false" outlineLevel="0" collapsed="false">
      <c r="A39" s="5" t="s">
        <v>231</v>
      </c>
      <c r="B39" s="2"/>
      <c r="C39" s="2"/>
      <c r="D39" s="25" t="n">
        <v>0</v>
      </c>
      <c r="E39" s="25" t="n">
        <v>3</v>
      </c>
      <c r="F39" s="25" t="n">
        <v>3</v>
      </c>
      <c r="G39" s="25" t="n">
        <v>3</v>
      </c>
      <c r="H39" s="25" t="n">
        <v>3</v>
      </c>
      <c r="I39" s="15" t="n">
        <f aca="false">SUM(D39:H39)</f>
        <v>12</v>
      </c>
      <c r="J39" s="2"/>
    </row>
    <row r="40" customFormat="false" ht="15" hidden="false" customHeight="false" outlineLevel="0" collapsed="false">
      <c r="A40" s="5" t="s">
        <v>234</v>
      </c>
      <c r="B40" s="2"/>
      <c r="C40" s="2"/>
      <c r="D40" s="25" t="n">
        <v>1</v>
      </c>
      <c r="E40" s="25" t="n">
        <v>0</v>
      </c>
      <c r="F40" s="25" t="n">
        <v>0</v>
      </c>
      <c r="G40" s="25" t="n">
        <v>0</v>
      </c>
      <c r="H40" s="25" t="n">
        <v>0</v>
      </c>
      <c r="I40" s="15" t="n">
        <f aca="false">SUM(D40:H40)</f>
        <v>1</v>
      </c>
      <c r="J40" s="2"/>
    </row>
    <row r="41" customFormat="false" ht="15" hidden="false" customHeight="false" outlineLevel="0" collapsed="false">
      <c r="A41" s="5" t="s">
        <v>237</v>
      </c>
      <c r="B41" s="2"/>
      <c r="C41" s="2"/>
      <c r="D41" s="25" t="n">
        <v>2</v>
      </c>
      <c r="E41" s="25" t="n">
        <v>3</v>
      </c>
      <c r="F41" s="25" t="n">
        <v>3</v>
      </c>
      <c r="G41" s="25" t="n">
        <v>3</v>
      </c>
      <c r="H41" s="25" t="n">
        <v>3</v>
      </c>
      <c r="I41" s="15" t="n">
        <f aca="false">SUM(D41:H41)</f>
        <v>14</v>
      </c>
      <c r="J41" s="2"/>
    </row>
    <row r="42" customFormat="false" ht="15" hidden="false" customHeight="false" outlineLevel="0" collapsed="false">
      <c r="A42" s="5" t="s">
        <v>240</v>
      </c>
      <c r="B42" s="2"/>
      <c r="C42" s="2"/>
      <c r="D42" s="25" t="n">
        <v>0</v>
      </c>
      <c r="E42" s="25" t="n">
        <v>0</v>
      </c>
      <c r="F42" s="25" t="n">
        <v>3</v>
      </c>
      <c r="G42" s="25" t="n">
        <v>3</v>
      </c>
      <c r="H42" s="25" t="n">
        <v>3</v>
      </c>
      <c r="I42" s="15" t="n">
        <f aca="false">SUM(D42:H42)</f>
        <v>9</v>
      </c>
      <c r="J42" s="2"/>
    </row>
    <row r="43" customFormat="false" ht="15" hidden="false" customHeight="false" outlineLevel="0" collapsed="false">
      <c r="A43" s="27" t="s">
        <v>350</v>
      </c>
      <c r="B43" s="2"/>
      <c r="C43" s="2"/>
      <c r="D43" s="28" t="n">
        <f aca="false">SUM(D37:D42)</f>
        <v>5</v>
      </c>
      <c r="E43" s="28" t="n">
        <f aca="false">SUM(E37:E42)</f>
        <v>12</v>
      </c>
      <c r="F43" s="28" t="n">
        <f aca="false">SUM(F37:F42)</f>
        <v>15</v>
      </c>
      <c r="G43" s="28" t="n">
        <f aca="false">SUM(G37:G42)</f>
        <v>15</v>
      </c>
      <c r="H43" s="28" t="n">
        <f aca="false">SUM(H37:H42)</f>
        <v>15</v>
      </c>
      <c r="I43" s="28" t="n">
        <f aca="false">SUM(I37:I42)</f>
        <v>62</v>
      </c>
      <c r="J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352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3" t="s">
        <v>353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4" t="s">
        <v>354</v>
      </c>
      <c r="B5" s="4" t="s">
        <v>269</v>
      </c>
      <c r="C5" s="4" t="s">
        <v>4</v>
      </c>
      <c r="D5" s="4" t="s">
        <v>39</v>
      </c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5" t="s">
        <v>355</v>
      </c>
      <c r="B6" s="29" t="n">
        <v>1.5</v>
      </c>
      <c r="C6" s="5" t="s">
        <v>290</v>
      </c>
      <c r="D6" s="5" t="s">
        <v>356</v>
      </c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5" t="s">
        <v>357</v>
      </c>
      <c r="B7" s="29" t="n">
        <v>1.9</v>
      </c>
      <c r="C7" s="5" t="s">
        <v>290</v>
      </c>
      <c r="D7" s="5" t="s">
        <v>356</v>
      </c>
      <c r="E7" s="2"/>
      <c r="F7" s="2"/>
      <c r="G7" s="2"/>
      <c r="H7" s="2"/>
      <c r="I7" s="2"/>
      <c r="J7" s="2"/>
      <c r="K7" s="2"/>
      <c r="L7" s="2"/>
    </row>
    <row r="8" customFormat="false" ht="35.05" hidden="false" customHeight="false" outlineLevel="0" collapsed="false">
      <c r="A8" s="5" t="s">
        <v>358</v>
      </c>
      <c r="B8" s="29" t="n">
        <v>0.15</v>
      </c>
      <c r="C8" s="5" t="s">
        <v>290</v>
      </c>
      <c r="D8" s="5" t="s">
        <v>359</v>
      </c>
      <c r="E8" s="2"/>
      <c r="F8" s="2"/>
      <c r="G8" s="2"/>
      <c r="H8" s="2"/>
      <c r="I8" s="2"/>
      <c r="J8" s="2"/>
      <c r="K8" s="2"/>
      <c r="L8" s="2"/>
    </row>
    <row r="9" customFormat="false" ht="23.85" hidden="false" customHeight="false" outlineLevel="0" collapsed="false">
      <c r="A9" s="5" t="s">
        <v>360</v>
      </c>
      <c r="B9" s="29" t="n">
        <v>0.4</v>
      </c>
      <c r="C9" s="5" t="s">
        <v>290</v>
      </c>
      <c r="D9" s="5" t="s">
        <v>361</v>
      </c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5" t="s">
        <v>362</v>
      </c>
      <c r="B10" s="30" t="n">
        <v>4</v>
      </c>
      <c r="C10" s="5" t="s">
        <v>15</v>
      </c>
      <c r="D10" s="5" t="s">
        <v>356</v>
      </c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5" t="s">
        <v>363</v>
      </c>
      <c r="B11" s="29" t="n">
        <v>1.3</v>
      </c>
      <c r="C11" s="5" t="s">
        <v>290</v>
      </c>
      <c r="D11" s="5" t="s">
        <v>356</v>
      </c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5" t="s">
        <v>364</v>
      </c>
      <c r="B12" s="29" t="n">
        <v>1.7</v>
      </c>
      <c r="C12" s="5" t="s">
        <v>290</v>
      </c>
      <c r="D12" s="5" t="s">
        <v>356</v>
      </c>
      <c r="E12" s="2"/>
      <c r="F12" s="2"/>
      <c r="G12" s="2"/>
      <c r="H12" s="2"/>
      <c r="I12" s="2"/>
      <c r="J12" s="2"/>
      <c r="K12" s="2"/>
      <c r="L12" s="2"/>
    </row>
    <row r="13" customFormat="false" ht="23.85" hidden="false" customHeight="false" outlineLevel="0" collapsed="false">
      <c r="A13" s="5" t="s">
        <v>365</v>
      </c>
      <c r="B13" s="29" t="n">
        <v>1.4</v>
      </c>
      <c r="C13" s="5" t="s">
        <v>290</v>
      </c>
      <c r="D13" s="5" t="s">
        <v>366</v>
      </c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5" t="s">
        <v>367</v>
      </c>
      <c r="B14" s="29" t="n">
        <v>0.2</v>
      </c>
      <c r="C14" s="5" t="s">
        <v>290</v>
      </c>
      <c r="D14" s="5" t="s">
        <v>368</v>
      </c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5" t="s">
        <v>369</v>
      </c>
      <c r="B15" s="31" t="n">
        <f aca="false">$B$6+2*$B$8</f>
        <v>1.8</v>
      </c>
      <c r="C15" s="5" t="s">
        <v>290</v>
      </c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5" t="s">
        <v>370</v>
      </c>
      <c r="B16" s="31" t="n">
        <f aca="false">$B$7+2*$B$8</f>
        <v>2.2</v>
      </c>
      <c r="C16" s="5" t="s">
        <v>290</v>
      </c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5" t="s">
        <v>371</v>
      </c>
      <c r="B17" s="31" t="n">
        <f aca="false">$B$11+2*$B$9</f>
        <v>2.1</v>
      </c>
      <c r="C17" s="5" t="s">
        <v>290</v>
      </c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5" t="s">
        <v>372</v>
      </c>
      <c r="B18" s="31" t="n">
        <f aca="false">$B$12+2*$B$9</f>
        <v>2.5</v>
      </c>
      <c r="C18" s="5" t="s">
        <v>290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5" t="s">
        <v>373</v>
      </c>
      <c r="B19" s="32" t="n">
        <f aca="false">$B$9-($B$17-$B$15)/2</f>
        <v>0.25</v>
      </c>
      <c r="C19" s="5" t="s">
        <v>290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5" t="s">
        <v>374</v>
      </c>
      <c r="B20" s="31" t="n">
        <f aca="false">$B$13-$B$14</f>
        <v>1.2</v>
      </c>
      <c r="C20" s="5" t="s">
        <v>290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57.45" hidden="false" customHeight="false" outlineLevel="0" collapsed="false">
      <c r="A21" s="5" t="s">
        <v>375</v>
      </c>
      <c r="B21" s="31" t="n">
        <f aca="false">$B$20</f>
        <v>1.2</v>
      </c>
      <c r="C21" s="5" t="s">
        <v>290</v>
      </c>
      <c r="D21" s="5" t="s">
        <v>376</v>
      </c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3" t="s">
        <v>377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4" t="s">
        <v>378</v>
      </c>
      <c r="B24" s="4" t="s">
        <v>379</v>
      </c>
      <c r="C24" s="4" t="s">
        <v>4</v>
      </c>
      <c r="D24" s="4" t="s">
        <v>380</v>
      </c>
      <c r="E24" s="2"/>
      <c r="F24" s="2"/>
      <c r="G24" s="2"/>
      <c r="H24" s="2"/>
      <c r="I24" s="2"/>
      <c r="J24" s="2"/>
      <c r="K24" s="2"/>
      <c r="L24" s="2"/>
    </row>
    <row r="25" customFormat="false" ht="23.85" hidden="false" customHeight="false" outlineLevel="0" collapsed="false">
      <c r="A25" s="5" t="s">
        <v>381</v>
      </c>
      <c r="B25" s="33" t="n">
        <f aca="false">$B$10*$B$9^2*$B$13</f>
        <v>0.896</v>
      </c>
      <c r="C25" s="5" t="s">
        <v>22</v>
      </c>
      <c r="D25" s="5" t="s">
        <v>382</v>
      </c>
      <c r="E25" s="2"/>
      <c r="F25" s="2"/>
      <c r="G25" s="2"/>
      <c r="H25" s="2"/>
      <c r="I25" s="2"/>
      <c r="J25" s="2"/>
      <c r="K25" s="2"/>
      <c r="L25" s="2"/>
    </row>
    <row r="26" customFormat="false" ht="35.05" hidden="false" customHeight="false" outlineLevel="0" collapsed="false">
      <c r="A26" s="5" t="s">
        <v>383</v>
      </c>
      <c r="B26" s="33" t="n">
        <f aca="false">$B$15*$B$16*$B$14-$B$10*$B$19^2*$B$14</f>
        <v>0.742</v>
      </c>
      <c r="C26" s="5" t="s">
        <v>22</v>
      </c>
      <c r="D26" s="5" t="s">
        <v>384</v>
      </c>
      <c r="E26" s="2"/>
      <c r="F26" s="2"/>
      <c r="G26" s="2"/>
      <c r="H26" s="2"/>
      <c r="I26" s="2"/>
      <c r="J26" s="2"/>
      <c r="K26" s="2"/>
      <c r="L26" s="2"/>
    </row>
    <row r="27" customFormat="false" ht="35.05" hidden="false" customHeight="false" outlineLevel="0" collapsed="false">
      <c r="A27" s="5" t="s">
        <v>385</v>
      </c>
      <c r="B27" s="33" t="n">
        <f aca="false">(2*$B$11+2*$B$12)*$B$20*$B$8</f>
        <v>1.08</v>
      </c>
      <c r="C27" s="5" t="s">
        <v>22</v>
      </c>
      <c r="D27" s="5" t="s">
        <v>386</v>
      </c>
      <c r="E27" s="2"/>
      <c r="F27" s="2"/>
      <c r="G27" s="2"/>
      <c r="H27" s="2"/>
      <c r="I27" s="2"/>
      <c r="J27" s="2"/>
      <c r="K27" s="2"/>
      <c r="L27" s="2"/>
    </row>
    <row r="28" customFormat="false" ht="46.25" hidden="false" customHeight="false" outlineLevel="0" collapsed="false">
      <c r="A28" s="5" t="s">
        <v>387</v>
      </c>
      <c r="B28" s="33" t="n">
        <f aca="false">($B$15+2*Supuestos!$B$17)*($B$16+2*Supuestos!$B$17)*Supuestos!$B$16</f>
        <v>0.24</v>
      </c>
      <c r="C28" s="5" t="s">
        <v>22</v>
      </c>
      <c r="D28" s="5" t="s">
        <v>388</v>
      </c>
      <c r="E28" s="2"/>
      <c r="F28" s="2"/>
      <c r="G28" s="2"/>
      <c r="H28" s="2"/>
      <c r="I28" s="2"/>
      <c r="J28" s="2"/>
      <c r="K28" s="2"/>
      <c r="L28" s="2"/>
    </row>
    <row r="29" customFormat="false" ht="23.85" hidden="false" customHeight="false" outlineLevel="0" collapsed="false">
      <c r="A29" s="27" t="s">
        <v>389</v>
      </c>
      <c r="B29" s="34" t="n">
        <f aca="false">B25+B26+B27</f>
        <v>2.718</v>
      </c>
      <c r="C29" s="35" t="s">
        <v>22</v>
      </c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3" t="s">
        <v>390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4" t="s">
        <v>314</v>
      </c>
      <c r="B32" s="4" t="s">
        <v>379</v>
      </c>
      <c r="C32" s="4" t="s">
        <v>4</v>
      </c>
      <c r="D32" s="4" t="s">
        <v>380</v>
      </c>
      <c r="E32" s="2"/>
      <c r="F32" s="2"/>
      <c r="G32" s="2"/>
      <c r="H32" s="2"/>
      <c r="I32" s="2"/>
      <c r="J32" s="2"/>
      <c r="K32" s="2"/>
      <c r="L32" s="2"/>
    </row>
    <row r="33" customFormat="false" ht="35.05" hidden="false" customHeight="false" outlineLevel="0" collapsed="false">
      <c r="A33" s="5" t="s">
        <v>391</v>
      </c>
      <c r="B33" s="18" t="n">
        <f aca="false">($B$17+2*Supuestos!$B$13)*($B$18+2*Supuestos!$B$13)*Supuestos!$B$14</f>
        <v>12.1365</v>
      </c>
      <c r="C33" s="5" t="s">
        <v>22</v>
      </c>
      <c r="D33" s="5" t="s">
        <v>392</v>
      </c>
      <c r="E33" s="2"/>
      <c r="F33" s="2"/>
      <c r="G33" s="2"/>
      <c r="H33" s="2"/>
      <c r="I33" s="2"/>
      <c r="J33" s="2"/>
      <c r="K33" s="2"/>
      <c r="L33" s="2"/>
    </row>
    <row r="34" customFormat="false" ht="57.45" hidden="false" customHeight="false" outlineLevel="0" collapsed="false">
      <c r="A34" s="5" t="s">
        <v>393</v>
      </c>
      <c r="B34" s="18" t="n">
        <f aca="false">($B$15*$B$16+$B$10*($B$9^2-$B$19^2))*$B$13+B28</f>
        <v>6.33</v>
      </c>
      <c r="C34" s="5" t="s">
        <v>22</v>
      </c>
      <c r="D34" s="5" t="s">
        <v>394</v>
      </c>
      <c r="E34" s="2"/>
      <c r="F34" s="2"/>
      <c r="G34" s="2"/>
      <c r="H34" s="2"/>
      <c r="I34" s="2"/>
      <c r="J34" s="2"/>
      <c r="K34" s="2"/>
      <c r="L34" s="2"/>
    </row>
    <row r="35" customFormat="false" ht="68.65" hidden="false" customHeight="false" outlineLevel="0" collapsed="false">
      <c r="A35" s="5" t="s">
        <v>395</v>
      </c>
      <c r="B35" s="18" t="n">
        <f aca="false">B33-B34</f>
        <v>5.8065</v>
      </c>
      <c r="C35" s="5" t="s">
        <v>22</v>
      </c>
      <c r="D35" s="5" t="s">
        <v>396</v>
      </c>
      <c r="E35" s="2"/>
      <c r="F35" s="2"/>
      <c r="G35" s="2"/>
      <c r="H35" s="2"/>
      <c r="I35" s="2"/>
      <c r="J35" s="2"/>
      <c r="K35" s="2"/>
      <c r="L35" s="2"/>
    </row>
    <row r="36" customFormat="false" ht="46.25" hidden="false" customHeight="false" outlineLevel="0" collapsed="false">
      <c r="A36" s="5" t="s">
        <v>397</v>
      </c>
      <c r="B36" s="18" t="n">
        <f aca="false">(B33-B35)*Supuestos!$B$15</f>
        <v>8.229</v>
      </c>
      <c r="C36" s="5" t="s">
        <v>22</v>
      </c>
      <c r="D36" s="5" t="s">
        <v>398</v>
      </c>
      <c r="E36" s="2"/>
      <c r="F36" s="2"/>
      <c r="G36" s="2"/>
      <c r="H36" s="2"/>
      <c r="I36" s="2"/>
      <c r="J36" s="2"/>
      <c r="K36" s="2"/>
      <c r="L36" s="2"/>
    </row>
    <row r="37" customFormat="false" ht="35.05" hidden="false" customHeight="false" outlineLevel="0" collapsed="false">
      <c r="A37" s="5" t="s">
        <v>399</v>
      </c>
      <c r="B37" s="18" t="n">
        <f aca="false">2*($B$6+$B$7)*$B$20</f>
        <v>8.16</v>
      </c>
      <c r="C37" s="5" t="s">
        <v>7</v>
      </c>
      <c r="D37" s="5" t="s">
        <v>400</v>
      </c>
      <c r="E37" s="2"/>
      <c r="F37" s="2"/>
      <c r="G37" s="2"/>
      <c r="H37" s="2"/>
      <c r="I37" s="2"/>
      <c r="J37" s="2"/>
      <c r="K37" s="2"/>
      <c r="L37" s="2"/>
    </row>
    <row r="38" customFormat="false" ht="35.05" hidden="false" customHeight="false" outlineLevel="0" collapsed="false">
      <c r="A38" s="5" t="s">
        <v>401</v>
      </c>
      <c r="B38" s="18" t="n">
        <f aca="false">(2*$B$11+2*$B$12)*$B$13</f>
        <v>8.4</v>
      </c>
      <c r="C38" s="5" t="s">
        <v>7</v>
      </c>
      <c r="D38" s="5" t="s">
        <v>402</v>
      </c>
      <c r="E38" s="2"/>
      <c r="F38" s="2"/>
      <c r="G38" s="2"/>
      <c r="H38" s="2"/>
      <c r="I38" s="2"/>
      <c r="J38" s="2"/>
      <c r="K38" s="2"/>
      <c r="L38" s="2"/>
    </row>
    <row r="39" customFormat="false" ht="35.05" hidden="false" customHeight="false" outlineLevel="0" collapsed="false">
      <c r="A39" s="5" t="s">
        <v>403</v>
      </c>
      <c r="B39" s="18" t="n">
        <f aca="false">$B$10*(2*$B$9+2*($B$9-$B$19))*$B$13</f>
        <v>6.16</v>
      </c>
      <c r="C39" s="5" t="s">
        <v>7</v>
      </c>
      <c r="D39" s="5" t="s">
        <v>404</v>
      </c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7" t="s">
        <v>405</v>
      </c>
      <c r="B40" s="36" t="n">
        <f aca="false">SUM(B37:B39)</f>
        <v>22.72</v>
      </c>
      <c r="C40" s="35" t="s">
        <v>7</v>
      </c>
      <c r="D40" s="2"/>
      <c r="E40" s="2"/>
      <c r="F40" s="2"/>
      <c r="G40" s="2"/>
      <c r="H40" s="2"/>
      <c r="I40" s="2"/>
      <c r="J40" s="2"/>
      <c r="K40" s="2"/>
      <c r="L40" s="2"/>
    </row>
    <row r="41" customFormat="false" ht="68.65" hidden="false" customHeight="false" outlineLevel="0" collapsed="false">
      <c r="A41" s="5" t="s">
        <v>406</v>
      </c>
      <c r="B41" s="18" t="n">
        <f aca="false">($B$6*$B$7+2*($B$6+$B$7)*$B$20)*Supuestos!$B$21</f>
        <v>11.01</v>
      </c>
      <c r="C41" s="5" t="s">
        <v>7</v>
      </c>
      <c r="D41" s="5" t="s">
        <v>407</v>
      </c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3" t="s">
        <v>408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3.85" hidden="false" customHeight="false" outlineLevel="0" collapsed="false">
      <c r="A44" s="4" t="s">
        <v>409</v>
      </c>
      <c r="B44" s="4" t="s">
        <v>410</v>
      </c>
      <c r="C44" s="4" t="s">
        <v>411</v>
      </c>
      <c r="D44" s="4" t="s">
        <v>412</v>
      </c>
      <c r="E44" s="4" t="s">
        <v>413</v>
      </c>
      <c r="F44" s="4" t="s">
        <v>414</v>
      </c>
      <c r="G44" s="4" t="s">
        <v>415</v>
      </c>
      <c r="H44" s="4" t="s">
        <v>416</v>
      </c>
      <c r="I44" s="4" t="s">
        <v>417</v>
      </c>
      <c r="J44" s="4" t="s">
        <v>272</v>
      </c>
      <c r="K44" s="4" t="s">
        <v>418</v>
      </c>
      <c r="L44" s="4" t="s">
        <v>419</v>
      </c>
    </row>
    <row r="45" customFormat="false" ht="15" hidden="false" customHeight="false" outlineLevel="0" collapsed="false">
      <c r="A45" s="5" t="s">
        <v>420</v>
      </c>
      <c r="B45" s="5" t="s">
        <v>421</v>
      </c>
      <c r="C45" s="26" t="n">
        <v>0.2</v>
      </c>
      <c r="D45" s="29" t="n">
        <v>2.08</v>
      </c>
      <c r="E45" s="37" t="n">
        <f aca="false">ROUNDUP(D45/C45,0)+1</f>
        <v>12</v>
      </c>
      <c r="F45" s="25" t="n">
        <v>2</v>
      </c>
      <c r="G45" s="37" t="n">
        <f aca="false">E45*F45</f>
        <v>24</v>
      </c>
      <c r="H45" s="29" t="n">
        <v>2.2</v>
      </c>
      <c r="I45" s="18" t="n">
        <f aca="false">G45*H45</f>
        <v>52.8</v>
      </c>
      <c r="J45" s="38" t="n">
        <f aca="false">Supuestos!$B$5</f>
        <v>0.994</v>
      </c>
      <c r="K45" s="18" t="n">
        <f aca="false">I45*J45</f>
        <v>52.4832</v>
      </c>
      <c r="L45" s="5" t="s">
        <v>422</v>
      </c>
    </row>
    <row r="46" customFormat="false" ht="15" hidden="false" customHeight="false" outlineLevel="0" collapsed="false">
      <c r="A46" s="5" t="s">
        <v>423</v>
      </c>
      <c r="B46" s="5" t="s">
        <v>421</v>
      </c>
      <c r="C46" s="26" t="n">
        <v>0.2</v>
      </c>
      <c r="D46" s="29" t="n">
        <v>1.68</v>
      </c>
      <c r="E46" s="37" t="n">
        <f aca="false">ROUNDUP(D46/C46,0)+1</f>
        <v>10</v>
      </c>
      <c r="F46" s="25" t="n">
        <v>2</v>
      </c>
      <c r="G46" s="37" t="n">
        <f aca="false">E46*F46</f>
        <v>20</v>
      </c>
      <c r="H46" s="29" t="n">
        <v>2.6</v>
      </c>
      <c r="I46" s="18" t="n">
        <f aca="false">G46*H46</f>
        <v>52</v>
      </c>
      <c r="J46" s="38" t="n">
        <f aca="false">Supuestos!$B$5</f>
        <v>0.994</v>
      </c>
      <c r="K46" s="18" t="n">
        <f aca="false">I46*J46</f>
        <v>51.688</v>
      </c>
      <c r="L46" s="5" t="s">
        <v>424</v>
      </c>
    </row>
    <row r="47" customFormat="false" ht="15" hidden="false" customHeight="false" outlineLevel="0" collapsed="false">
      <c r="A47" s="5" t="s">
        <v>425</v>
      </c>
      <c r="B47" s="5" t="s">
        <v>421</v>
      </c>
      <c r="C47" s="26" t="n">
        <v>0.2</v>
      </c>
      <c r="D47" s="31" t="n">
        <f aca="false">$B$20</f>
        <v>1.2</v>
      </c>
      <c r="E47" s="37" t="n">
        <f aca="false">ROUNDUP(D47/C47,0)+1</f>
        <v>7</v>
      </c>
      <c r="F47" s="25" t="n">
        <v>2</v>
      </c>
      <c r="G47" s="37" t="n">
        <f aca="false">E47*F47</f>
        <v>14</v>
      </c>
      <c r="H47" s="29" t="n">
        <v>2.1</v>
      </c>
      <c r="I47" s="18" t="n">
        <f aca="false">G47*H47</f>
        <v>29.4</v>
      </c>
      <c r="J47" s="38" t="n">
        <f aca="false">Supuestos!$B$5</f>
        <v>0.994</v>
      </c>
      <c r="K47" s="18" t="n">
        <f aca="false">I47*J47</f>
        <v>29.2236</v>
      </c>
      <c r="L47" s="5" t="s">
        <v>426</v>
      </c>
    </row>
    <row r="48" customFormat="false" ht="15" hidden="false" customHeight="false" outlineLevel="0" collapsed="false">
      <c r="A48" s="5" t="s">
        <v>427</v>
      </c>
      <c r="B48" s="5" t="s">
        <v>421</v>
      </c>
      <c r="C48" s="26" t="n">
        <v>0.2</v>
      </c>
      <c r="D48" s="31" t="n">
        <f aca="false">$B$20</f>
        <v>1.2</v>
      </c>
      <c r="E48" s="37" t="n">
        <f aca="false">ROUNDUP(D48/C48,0)+1</f>
        <v>7</v>
      </c>
      <c r="F48" s="25" t="n">
        <v>2</v>
      </c>
      <c r="G48" s="37" t="n">
        <f aca="false">E48*F48</f>
        <v>14</v>
      </c>
      <c r="H48" s="29" t="n">
        <v>2.5</v>
      </c>
      <c r="I48" s="18" t="n">
        <f aca="false">G48*H48</f>
        <v>35</v>
      </c>
      <c r="J48" s="38" t="n">
        <f aca="false">Supuestos!$B$5</f>
        <v>0.994</v>
      </c>
      <c r="K48" s="18" t="n">
        <f aca="false">I48*J48</f>
        <v>34.79</v>
      </c>
      <c r="L48" s="5" t="s">
        <v>428</v>
      </c>
    </row>
    <row r="49" customFormat="false" ht="15" hidden="false" customHeight="false" outlineLevel="0" collapsed="false">
      <c r="A49" s="5" t="s">
        <v>429</v>
      </c>
      <c r="B49" s="5" t="s">
        <v>421</v>
      </c>
      <c r="C49" s="26" t="n">
        <v>0.2</v>
      </c>
      <c r="D49" s="31" t="n">
        <f aca="false">$B$11</f>
        <v>1.3</v>
      </c>
      <c r="E49" s="37" t="n">
        <f aca="false">ROUNDUP(D49/C49,0)+1</f>
        <v>8</v>
      </c>
      <c r="F49" s="25" t="n">
        <v>2</v>
      </c>
      <c r="G49" s="37" t="n">
        <f aca="false">E49*F49</f>
        <v>16</v>
      </c>
      <c r="H49" s="29" t="n">
        <v>1.75</v>
      </c>
      <c r="I49" s="18" t="n">
        <f aca="false">G49*H49</f>
        <v>28</v>
      </c>
      <c r="J49" s="38" t="n">
        <f aca="false">Supuestos!$B$5</f>
        <v>0.994</v>
      </c>
      <c r="K49" s="18" t="n">
        <f aca="false">I49*J49</f>
        <v>27.832</v>
      </c>
      <c r="L49" s="5" t="s">
        <v>430</v>
      </c>
    </row>
    <row r="50" customFormat="false" ht="15" hidden="false" customHeight="false" outlineLevel="0" collapsed="false">
      <c r="A50" s="5" t="s">
        <v>431</v>
      </c>
      <c r="B50" s="5" t="s">
        <v>421</v>
      </c>
      <c r="C50" s="26" t="n">
        <v>0.2</v>
      </c>
      <c r="D50" s="31" t="n">
        <f aca="false">$B$12</f>
        <v>1.7</v>
      </c>
      <c r="E50" s="37" t="n">
        <f aca="false">ROUNDUP(D50/C50,0)+1</f>
        <v>10</v>
      </c>
      <c r="F50" s="25" t="n">
        <v>2</v>
      </c>
      <c r="G50" s="37" t="n">
        <f aca="false">E50*F50</f>
        <v>20</v>
      </c>
      <c r="H50" s="29" t="n">
        <v>1.75</v>
      </c>
      <c r="I50" s="18" t="n">
        <f aca="false">G50*H50</f>
        <v>35</v>
      </c>
      <c r="J50" s="38" t="n">
        <f aca="false">Supuestos!$B$5</f>
        <v>0.994</v>
      </c>
      <c r="K50" s="18" t="n">
        <f aca="false">I50*J50</f>
        <v>34.79</v>
      </c>
      <c r="L50" s="5" t="s">
        <v>430</v>
      </c>
    </row>
    <row r="51" customFormat="false" ht="15" hidden="false" customHeight="false" outlineLevel="0" collapsed="false">
      <c r="A51" s="5" t="s">
        <v>432</v>
      </c>
      <c r="B51" s="5" t="s">
        <v>421</v>
      </c>
      <c r="C51" s="32"/>
      <c r="D51" s="31"/>
      <c r="E51" s="25" t="n">
        <v>4</v>
      </c>
      <c r="F51" s="25" t="n">
        <v>4</v>
      </c>
      <c r="G51" s="37" t="n">
        <f aca="false">E51*F51</f>
        <v>16</v>
      </c>
      <c r="H51" s="29" t="n">
        <v>1.85</v>
      </c>
      <c r="I51" s="18" t="n">
        <f aca="false">G51*H51</f>
        <v>29.6</v>
      </c>
      <c r="J51" s="38" t="n">
        <f aca="false">Supuestos!$B$5</f>
        <v>0.994</v>
      </c>
      <c r="K51" s="18" t="n">
        <f aca="false">I51*J51</f>
        <v>29.4224</v>
      </c>
      <c r="L51" s="5" t="s">
        <v>433</v>
      </c>
    </row>
    <row r="52" customFormat="false" ht="15" hidden="false" customHeight="false" outlineLevel="0" collapsed="false">
      <c r="A52" s="5" t="s">
        <v>434</v>
      </c>
      <c r="B52" s="5" t="s">
        <v>435</v>
      </c>
      <c r="C52" s="26" t="n">
        <v>0.075</v>
      </c>
      <c r="D52" s="31" t="n">
        <f aca="false">$B$13</f>
        <v>1.4</v>
      </c>
      <c r="E52" s="37" t="n">
        <f aca="false">ROUNDUP(D52/C52,0)+1</f>
        <v>20</v>
      </c>
      <c r="F52" s="25" t="n">
        <v>4</v>
      </c>
      <c r="G52" s="37" t="n">
        <f aca="false">E52*F52</f>
        <v>80</v>
      </c>
      <c r="H52" s="29" t="n">
        <v>1.48</v>
      </c>
      <c r="I52" s="18" t="n">
        <f aca="false">G52*H52</f>
        <v>118.4</v>
      </c>
      <c r="J52" s="38" t="n">
        <f aca="false">Supuestos!$B$4</f>
        <v>0.56</v>
      </c>
      <c r="K52" s="18" t="n">
        <f aca="false">I52*J52</f>
        <v>66.304</v>
      </c>
      <c r="L52" s="5" t="s">
        <v>436</v>
      </c>
    </row>
    <row r="53" customFormat="false" ht="15" hidden="false" customHeight="false" outlineLevel="0" collapsed="false">
      <c r="A53" s="27" t="s">
        <v>437</v>
      </c>
      <c r="B53" s="2"/>
      <c r="C53" s="2"/>
      <c r="D53" s="2"/>
      <c r="E53" s="2"/>
      <c r="F53" s="2"/>
      <c r="G53" s="2"/>
      <c r="H53" s="2"/>
      <c r="I53" s="36" t="n">
        <f aca="false">SUMIF(B45:B52,"#4",I45:I52)</f>
        <v>261.8</v>
      </c>
      <c r="J53" s="2"/>
      <c r="K53" s="36" t="n">
        <f aca="false">SUMIF(B45:B52,"#4",K45:K52)</f>
        <v>260.2292</v>
      </c>
      <c r="L53" s="2"/>
    </row>
    <row r="54" customFormat="false" ht="15" hidden="false" customHeight="false" outlineLevel="0" collapsed="false">
      <c r="A54" s="27" t="s">
        <v>438</v>
      </c>
      <c r="B54" s="2"/>
      <c r="C54" s="2"/>
      <c r="D54" s="2"/>
      <c r="E54" s="2"/>
      <c r="F54" s="2"/>
      <c r="G54" s="2"/>
      <c r="H54" s="2"/>
      <c r="I54" s="36" t="n">
        <f aca="false">SUMIF(B45:B52,"#3",I45:I52)</f>
        <v>118.4</v>
      </c>
      <c r="J54" s="2"/>
      <c r="K54" s="36" t="n">
        <f aca="false">SUMIF(B45:B52,"#3",K45:K52)</f>
        <v>66.304</v>
      </c>
      <c r="L54" s="2"/>
    </row>
    <row r="55" customFormat="false" ht="15" hidden="false" customHeight="false" outlineLevel="0" collapsed="false">
      <c r="A55" s="39" t="s">
        <v>439</v>
      </c>
      <c r="B55" s="2"/>
      <c r="C55" s="2"/>
      <c r="D55" s="2"/>
      <c r="E55" s="2"/>
      <c r="F55" s="2"/>
      <c r="G55" s="2"/>
      <c r="H55" s="2"/>
      <c r="I55" s="2"/>
      <c r="J55" s="2"/>
      <c r="K55" s="40" t="n">
        <f aca="false">(K53+K54)/B29</f>
        <v>120.137306843267</v>
      </c>
      <c r="L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23" t="s">
        <v>440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3.85" hidden="false" customHeight="false" outlineLevel="0" collapsed="false">
      <c r="A58" s="4" t="s">
        <v>378</v>
      </c>
      <c r="B58" s="4" t="s">
        <v>379</v>
      </c>
      <c r="C58" s="4" t="s">
        <v>4</v>
      </c>
      <c r="D58" s="4" t="s">
        <v>441</v>
      </c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5" t="s">
        <v>442</v>
      </c>
      <c r="B59" s="37" t="n">
        <f aca="false">$B$10</f>
        <v>4</v>
      </c>
      <c r="C59" s="5" t="s">
        <v>15</v>
      </c>
      <c r="D59" s="5" t="s">
        <v>443</v>
      </c>
      <c r="E59" s="2"/>
      <c r="F59" s="2"/>
      <c r="G59" s="2"/>
      <c r="H59" s="2"/>
      <c r="I59" s="2"/>
      <c r="J59" s="2"/>
      <c r="K59" s="2"/>
      <c r="L59" s="2"/>
    </row>
    <row r="60" customFormat="false" ht="35.05" hidden="false" customHeight="false" outlineLevel="0" collapsed="false">
      <c r="A60" s="5" t="s">
        <v>444</v>
      </c>
      <c r="B60" s="18" t="n">
        <f aca="false">B59*0.3*0.3*0.016*Supuestos!$B$18</f>
        <v>45.216</v>
      </c>
      <c r="C60" s="5" t="s">
        <v>25</v>
      </c>
      <c r="D60" s="5" t="s">
        <v>445</v>
      </c>
      <c r="E60" s="2"/>
      <c r="F60" s="2"/>
      <c r="G60" s="2"/>
      <c r="H60" s="2"/>
      <c r="I60" s="2"/>
      <c r="J60" s="2"/>
      <c r="K60" s="2"/>
      <c r="L60" s="2"/>
    </row>
    <row r="61" customFormat="false" ht="91" hidden="false" customHeight="false" outlineLevel="0" collapsed="false">
      <c r="A61" s="5" t="s">
        <v>101</v>
      </c>
      <c r="B61" s="37" t="n">
        <f aca="false">4*$B$10</f>
        <v>16</v>
      </c>
      <c r="C61" s="5" t="s">
        <v>15</v>
      </c>
      <c r="D61" s="5" t="s">
        <v>446</v>
      </c>
      <c r="E61" s="2"/>
      <c r="F61" s="2"/>
      <c r="G61" s="2"/>
      <c r="H61" s="2"/>
      <c r="I61" s="2"/>
      <c r="J61" s="2"/>
      <c r="K61" s="2"/>
      <c r="L61" s="2"/>
    </row>
    <row r="62" customFormat="false" ht="57.45" hidden="false" customHeight="false" outlineLevel="0" collapsed="false">
      <c r="A62" s="5" t="s">
        <v>447</v>
      </c>
      <c r="B62" s="18" t="n">
        <f aca="false">$B$10*1.15</f>
        <v>4.6</v>
      </c>
      <c r="C62" s="5" t="s">
        <v>106</v>
      </c>
      <c r="D62" s="5" t="s">
        <v>448</v>
      </c>
      <c r="E62" s="2"/>
      <c r="F62" s="2"/>
      <c r="G62" s="2"/>
      <c r="H62" s="2"/>
      <c r="I62" s="2"/>
      <c r="J62" s="2"/>
      <c r="K62" s="2"/>
      <c r="L62" s="2"/>
    </row>
    <row r="63" customFormat="false" ht="91" hidden="false" customHeight="false" outlineLevel="0" collapsed="false">
      <c r="A63" s="5" t="s">
        <v>449</v>
      </c>
      <c r="B63" s="37" t="n">
        <f aca="false">$B$10</f>
        <v>4</v>
      </c>
      <c r="C63" s="5" t="s">
        <v>15</v>
      </c>
      <c r="D63" s="5" t="s">
        <v>450</v>
      </c>
      <c r="E63" s="2"/>
      <c r="F63" s="2"/>
      <c r="G63" s="2"/>
      <c r="H63" s="2"/>
      <c r="I63" s="2"/>
      <c r="J63" s="2"/>
      <c r="K63" s="2"/>
      <c r="L6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451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452</v>
      </c>
      <c r="B3" s="4" t="s">
        <v>453</v>
      </c>
      <c r="C3" s="4" t="s">
        <v>454</v>
      </c>
      <c r="D3" s="4" t="s">
        <v>455</v>
      </c>
    </row>
    <row r="4" customFormat="false" ht="23.85" hidden="false" customHeight="false" outlineLevel="0" collapsed="false">
      <c r="A4" s="5" t="n">
        <v>1</v>
      </c>
      <c r="B4" s="5" t="s">
        <v>456</v>
      </c>
      <c r="C4" s="5" t="s">
        <v>457</v>
      </c>
      <c r="D4" s="5" t="s">
        <v>458</v>
      </c>
    </row>
    <row r="5" customFormat="false" ht="23.85" hidden="false" customHeight="false" outlineLevel="0" collapsed="false">
      <c r="A5" s="5" t="n">
        <v>2</v>
      </c>
      <c r="B5" s="5" t="s">
        <v>456</v>
      </c>
      <c r="C5" s="5" t="s">
        <v>459</v>
      </c>
      <c r="D5" s="5" t="s">
        <v>460</v>
      </c>
    </row>
    <row r="6" customFormat="false" ht="15" hidden="false" customHeight="false" outlineLevel="0" collapsed="false">
      <c r="A6" s="5" t="n">
        <v>3</v>
      </c>
      <c r="B6" s="5" t="s">
        <v>456</v>
      </c>
      <c r="C6" s="5" t="s">
        <v>461</v>
      </c>
      <c r="D6" s="5" t="s">
        <v>462</v>
      </c>
    </row>
    <row r="7" customFormat="false" ht="23.85" hidden="false" customHeight="false" outlineLevel="0" collapsed="false">
      <c r="A7" s="5" t="n">
        <v>4</v>
      </c>
      <c r="B7" s="5" t="s">
        <v>463</v>
      </c>
      <c r="C7" s="5" t="s">
        <v>464</v>
      </c>
      <c r="D7" s="5" t="s">
        <v>465</v>
      </c>
    </row>
    <row r="8" customFormat="false" ht="23.85" hidden="false" customHeight="false" outlineLevel="0" collapsed="false">
      <c r="A8" s="5" t="n">
        <v>5</v>
      </c>
      <c r="B8" s="5" t="s">
        <v>463</v>
      </c>
      <c r="C8" s="5" t="s">
        <v>466</v>
      </c>
      <c r="D8" s="5" t="s">
        <v>467</v>
      </c>
    </row>
    <row r="9" customFormat="false" ht="23.85" hidden="false" customHeight="false" outlineLevel="0" collapsed="false">
      <c r="A9" s="5" t="n">
        <v>6</v>
      </c>
      <c r="B9" s="5" t="s">
        <v>468</v>
      </c>
      <c r="C9" s="5" t="s">
        <v>469</v>
      </c>
      <c r="D9" s="5" t="s">
        <v>470</v>
      </c>
    </row>
    <row r="10" customFormat="false" ht="15" hidden="false" customHeight="false" outlineLevel="0" collapsed="false">
      <c r="A10" s="5" t="n">
        <v>7</v>
      </c>
      <c r="B10" s="5" t="s">
        <v>468</v>
      </c>
      <c r="C10" s="5" t="s">
        <v>471</v>
      </c>
      <c r="D10" s="5" t="s">
        <v>472</v>
      </c>
    </row>
    <row r="11" customFormat="false" ht="23.85" hidden="false" customHeight="false" outlineLevel="0" collapsed="false">
      <c r="A11" s="5" t="n">
        <v>8</v>
      </c>
      <c r="B11" s="5" t="s">
        <v>473</v>
      </c>
      <c r="C11" s="5" t="s">
        <v>474</v>
      </c>
      <c r="D11" s="5" t="s">
        <v>475</v>
      </c>
    </row>
    <row r="12" customFormat="false" ht="23.85" hidden="false" customHeight="false" outlineLevel="0" collapsed="false">
      <c r="A12" s="5" t="n">
        <v>9</v>
      </c>
      <c r="B12" s="5" t="s">
        <v>473</v>
      </c>
      <c r="C12" s="5" t="s">
        <v>476</v>
      </c>
      <c r="D12" s="5" t="s">
        <v>477</v>
      </c>
    </row>
    <row r="13" customFormat="false" ht="23.85" hidden="false" customHeight="false" outlineLevel="0" collapsed="false">
      <c r="A13" s="5" t="n">
        <v>10</v>
      </c>
      <c r="B13" s="5" t="s">
        <v>473</v>
      </c>
      <c r="C13" s="5" t="s">
        <v>478</v>
      </c>
      <c r="D13" s="5" t="s">
        <v>479</v>
      </c>
    </row>
    <row r="14" customFormat="false" ht="15" hidden="false" customHeight="false" outlineLevel="0" collapsed="false">
      <c r="A14" s="5" t="n">
        <v>11</v>
      </c>
      <c r="B14" s="5" t="s">
        <v>480</v>
      </c>
      <c r="C14" s="5" t="s">
        <v>481</v>
      </c>
      <c r="D14" s="5" t="s">
        <v>482</v>
      </c>
    </row>
    <row r="15" customFormat="false" ht="23.85" hidden="false" customHeight="false" outlineLevel="0" collapsed="false">
      <c r="A15" s="5" t="n">
        <v>12</v>
      </c>
      <c r="B15" s="5" t="s">
        <v>483</v>
      </c>
      <c r="C15" s="5" t="s">
        <v>484</v>
      </c>
      <c r="D15" s="5" t="s">
        <v>485</v>
      </c>
    </row>
    <row r="16" customFormat="false" ht="23.85" hidden="false" customHeight="false" outlineLevel="0" collapsed="false">
      <c r="A16" s="5" t="n">
        <v>13</v>
      </c>
      <c r="B16" s="5" t="s">
        <v>486</v>
      </c>
      <c r="C16" s="5" t="s">
        <v>487</v>
      </c>
      <c r="D16" s="5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2026-10-07T20:25:31Z</dcterms:created>
  <dc:creator>openpyxl</dc:creator>
  <dc:description/>
  <dc:language>en-US</dc:language>
  <cp:lastModifiedBy/>
  <dcterms:modified xsi:type="dcterms:W3CDTF">2026-10-07T20:25:31Z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